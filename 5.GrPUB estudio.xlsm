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Va\Mis estudios\Comparativa webs\2023-11\"/>
    </mc:Choice>
  </mc:AlternateContent>
  <xr:revisionPtr revIDLastSave="0" documentId="13_ncr:1_{8356E2AC-41A4-40D5-955A-A1C5CCBB35EC}" xr6:coauthVersionLast="47" xr6:coauthVersionMax="47" xr10:uidLastSave="{00000000-0000-0000-0000-000000000000}"/>
  <bookViews>
    <workbookView xWindow="-19320" yWindow="570" windowWidth="19440" windowHeight="15000" activeTab="3" xr2:uid="{8042E711-C3BE-4DF7-9191-CAC09ABE09A2}"/>
  </bookViews>
  <sheets>
    <sheet name="readme" sheetId="10" r:id="rId1"/>
    <sheet name="Muestra final" sheetId="11" r:id="rId2"/>
    <sheet name="Resumen informes sin tratar" sheetId="12" r:id="rId3"/>
    <sheet name="Cumplimiento indicadores" sheetId="13" r:id="rId4"/>
    <sheet name="Resumen final" sheetId="15" r:id="rId5"/>
  </sheets>
  <definedNames>
    <definedName name="_xlnm._FilterDatabase" localSheetId="1" hidden="1">'Muestra final'!$A$6:$G$80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2" l="1"/>
  <c r="AB64" i="13"/>
  <c r="AA64" i="13"/>
  <c r="X65" i="13"/>
  <c r="AA65" i="13" s="1"/>
  <c r="Y65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R69" i="13"/>
  <c r="S69" i="13"/>
  <c r="T69" i="13"/>
  <c r="U69" i="13"/>
  <c r="V69" i="13"/>
  <c r="W69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R70" i="13"/>
  <c r="S70" i="13"/>
  <c r="T70" i="13"/>
  <c r="U70" i="13"/>
  <c r="V70" i="13"/>
  <c r="W70" i="13"/>
  <c r="D68" i="13"/>
  <c r="D69" i="13"/>
  <c r="D70" i="13"/>
  <c r="D67" i="13"/>
  <c r="X50" i="13"/>
  <c r="Y50" i="13"/>
  <c r="X51" i="13"/>
  <c r="Y51" i="13"/>
  <c r="X52" i="13"/>
  <c r="Y52" i="13"/>
  <c r="X53" i="13"/>
  <c r="Y53" i="13"/>
  <c r="X54" i="13"/>
  <c r="Y54" i="13"/>
  <c r="X55" i="13"/>
  <c r="Y55" i="13"/>
  <c r="X56" i="13"/>
  <c r="Y56" i="13"/>
  <c r="X57" i="13"/>
  <c r="Y57" i="13"/>
  <c r="X58" i="13"/>
  <c r="Y58" i="13"/>
  <c r="X59" i="13"/>
  <c r="Y59" i="13"/>
  <c r="X60" i="13"/>
  <c r="Y60" i="13"/>
  <c r="X61" i="13"/>
  <c r="Y61" i="13"/>
  <c r="X62" i="13"/>
  <c r="Y62" i="13"/>
  <c r="X34" i="13"/>
  <c r="Y34" i="13"/>
  <c r="X35" i="13"/>
  <c r="Y35" i="13"/>
  <c r="X36" i="13"/>
  <c r="Y36" i="13"/>
  <c r="X37" i="13"/>
  <c r="Y37" i="13"/>
  <c r="X38" i="13"/>
  <c r="Y38" i="13"/>
  <c r="X39" i="13"/>
  <c r="Y39" i="13"/>
  <c r="X40" i="13"/>
  <c r="Y40" i="13"/>
  <c r="X41" i="13"/>
  <c r="Y41" i="13"/>
  <c r="X42" i="13"/>
  <c r="Y42" i="13"/>
  <c r="X43" i="13"/>
  <c r="Y43" i="13"/>
  <c r="X44" i="13"/>
  <c r="Y44" i="13"/>
  <c r="X45" i="13"/>
  <c r="Y45" i="13"/>
  <c r="X46" i="13"/>
  <c r="Y46" i="13"/>
  <c r="X47" i="13"/>
  <c r="Y47" i="13"/>
  <c r="X48" i="13"/>
  <c r="Y48" i="13"/>
  <c r="X49" i="13"/>
  <c r="Y49" i="13"/>
  <c r="X63" i="13"/>
  <c r="Y63" i="13"/>
  <c r="A1" i="15"/>
  <c r="B1" i="15"/>
  <c r="C1" i="15"/>
  <c r="D1" i="15"/>
  <c r="A2" i="15"/>
  <c r="B2" i="15"/>
  <c r="A3" i="15"/>
  <c r="B3" i="15"/>
  <c r="A4" i="15"/>
  <c r="B4" i="15"/>
  <c r="A5" i="15"/>
  <c r="B5" i="15"/>
  <c r="A6" i="15"/>
  <c r="B6" i="15"/>
  <c r="A7" i="15"/>
  <c r="B7" i="15"/>
  <c r="Z69" i="13"/>
  <c r="Z68" i="13"/>
  <c r="Z67" i="13"/>
  <c r="C2" i="15" s="1"/>
  <c r="Y3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Y33" i="13"/>
  <c r="Y2" i="13"/>
  <c r="X3" i="13"/>
  <c r="AA3" i="13" s="1"/>
  <c r="X4" i="13"/>
  <c r="AA4" i="13" s="1"/>
  <c r="X5" i="13"/>
  <c r="AA5" i="13" s="1"/>
  <c r="X6" i="13"/>
  <c r="AA6" i="13" s="1"/>
  <c r="X7" i="13"/>
  <c r="X8" i="13"/>
  <c r="AA8" i="13" s="1"/>
  <c r="X9" i="13"/>
  <c r="X10" i="13"/>
  <c r="AA10" i="13" s="1"/>
  <c r="X11" i="13"/>
  <c r="AA11" i="13" s="1"/>
  <c r="X12" i="13"/>
  <c r="X13" i="13"/>
  <c r="AA13" i="13" s="1"/>
  <c r="X14" i="13"/>
  <c r="AA14" i="13" s="1"/>
  <c r="X15" i="13"/>
  <c r="X16" i="13"/>
  <c r="X17" i="13"/>
  <c r="X18" i="13"/>
  <c r="AA18" i="13" s="1"/>
  <c r="X19" i="13"/>
  <c r="AA19" i="13" s="1"/>
  <c r="X20" i="13"/>
  <c r="X21" i="13"/>
  <c r="AA21" i="13" s="1"/>
  <c r="X22" i="13"/>
  <c r="X23" i="13"/>
  <c r="AA23" i="13" s="1"/>
  <c r="X24" i="13"/>
  <c r="AA24" i="13" s="1"/>
  <c r="X25" i="13"/>
  <c r="X26" i="13"/>
  <c r="X27" i="13"/>
  <c r="X28" i="13"/>
  <c r="AA28" i="13" s="1"/>
  <c r="X29" i="13"/>
  <c r="AA29" i="13" s="1"/>
  <c r="X30" i="13"/>
  <c r="X31" i="13"/>
  <c r="X32" i="13"/>
  <c r="AA32" i="13" s="1"/>
  <c r="X33" i="13"/>
  <c r="AA33" i="13" s="1"/>
  <c r="X2" i="13"/>
  <c r="AA2" i="13" s="1"/>
  <c r="H7" i="12"/>
  <c r="H6" i="12"/>
  <c r="H5" i="12"/>
  <c r="H4" i="12"/>
  <c r="H3" i="12"/>
  <c r="H2" i="12"/>
  <c r="AA51" i="13" l="1"/>
  <c r="AB65" i="13"/>
  <c r="AA53" i="13"/>
  <c r="AA52" i="13"/>
  <c r="AA50" i="13"/>
  <c r="AA55" i="13"/>
  <c r="AB50" i="13"/>
  <c r="AA56" i="13"/>
  <c r="AB51" i="13"/>
  <c r="AB52" i="13"/>
  <c r="AA59" i="13"/>
  <c r="AA58" i="13"/>
  <c r="AA54" i="13"/>
  <c r="AB53" i="13"/>
  <c r="AB54" i="13"/>
  <c r="AB55" i="13"/>
  <c r="AA57" i="13"/>
  <c r="AB56" i="13"/>
  <c r="AB57" i="13"/>
  <c r="AA62" i="13"/>
  <c r="AB59" i="13"/>
  <c r="AB58" i="13"/>
  <c r="AA61" i="13"/>
  <c r="AA60" i="13"/>
  <c r="AA35" i="13"/>
  <c r="AB60" i="13"/>
  <c r="AA34" i="13"/>
  <c r="AB61" i="13"/>
  <c r="AB62" i="13"/>
  <c r="AB34" i="13"/>
  <c r="AA41" i="13"/>
  <c r="AA40" i="13"/>
  <c r="AA38" i="13"/>
  <c r="AA37" i="13"/>
  <c r="AA36" i="13"/>
  <c r="AB35" i="13"/>
  <c r="AA39" i="13"/>
  <c r="AB36" i="13"/>
  <c r="AA43" i="13"/>
  <c r="AB37" i="13"/>
  <c r="AA42" i="13"/>
  <c r="AB39" i="13"/>
  <c r="AB38" i="13"/>
  <c r="AA46" i="13"/>
  <c r="AB40" i="13"/>
  <c r="AB41" i="13"/>
  <c r="AA45" i="13"/>
  <c r="AB42" i="13"/>
  <c r="AA48" i="13"/>
  <c r="AA44" i="13"/>
  <c r="AB43" i="13"/>
  <c r="AB44" i="13"/>
  <c r="AB45" i="13"/>
  <c r="AA47" i="13"/>
  <c r="AB46" i="13"/>
  <c r="AB47" i="13"/>
  <c r="AA63" i="13"/>
  <c r="AA49" i="13"/>
  <c r="AB48" i="13"/>
  <c r="AB49" i="13"/>
  <c r="AB63" i="13"/>
  <c r="AA30" i="13"/>
  <c r="AA20" i="13"/>
  <c r="AA17" i="13"/>
  <c r="Z71" i="13"/>
  <c r="C6" i="15" s="1"/>
  <c r="Z72" i="13"/>
  <c r="C7" i="15" s="1"/>
  <c r="AA27" i="13"/>
  <c r="AA7" i="13"/>
  <c r="AA31" i="13"/>
  <c r="AA15" i="13"/>
  <c r="C4" i="15"/>
  <c r="C3" i="15"/>
  <c r="Z70" i="13"/>
  <c r="C5" i="15" s="1"/>
  <c r="AA9" i="13"/>
  <c r="AA16" i="13"/>
  <c r="AA26" i="13"/>
  <c r="AA12" i="13"/>
  <c r="AB32" i="13"/>
  <c r="AB31" i="13"/>
  <c r="AB18" i="13"/>
  <c r="AB16" i="13"/>
  <c r="AB15" i="13"/>
  <c r="G71" i="13"/>
  <c r="G72" i="13" s="1"/>
  <c r="AB33" i="13"/>
  <c r="AB17" i="13"/>
  <c r="AA25" i="13"/>
  <c r="AB30" i="13"/>
  <c r="AB14" i="13"/>
  <c r="AB29" i="13"/>
  <c r="AB13" i="13"/>
  <c r="AB28" i="13"/>
  <c r="AB12" i="13"/>
  <c r="AA22" i="13"/>
  <c r="AB27" i="13"/>
  <c r="AB11" i="13"/>
  <c r="AB26" i="13"/>
  <c r="AB10" i="13"/>
  <c r="AB25" i="13"/>
  <c r="AB9" i="13"/>
  <c r="AB24" i="13"/>
  <c r="AB8" i="13"/>
  <c r="AB23" i="13"/>
  <c r="AB7" i="13"/>
  <c r="AB2" i="13"/>
  <c r="AB22" i="13"/>
  <c r="AB6" i="13"/>
  <c r="AB21" i="13"/>
  <c r="AB5" i="13"/>
  <c r="AB20" i="13"/>
  <c r="AB4" i="13"/>
  <c r="AB19" i="13"/>
  <c r="AB3" i="13"/>
  <c r="S71" i="13"/>
  <c r="S72" i="13" s="1"/>
  <c r="H71" i="13"/>
  <c r="H72" i="13" s="1"/>
  <c r="E71" i="13"/>
  <c r="E72" i="13" s="1"/>
  <c r="F71" i="13"/>
  <c r="F72" i="13" s="1"/>
  <c r="I71" i="13"/>
  <c r="I72" i="13" s="1"/>
  <c r="L71" i="13"/>
  <c r="L72" i="13" s="1"/>
  <c r="Q71" i="13"/>
  <c r="Q72" i="13" s="1"/>
  <c r="O71" i="13"/>
  <c r="O72" i="13" s="1"/>
  <c r="R71" i="13"/>
  <c r="M71" i="13"/>
  <c r="M72" i="13" s="1"/>
  <c r="J71" i="13"/>
  <c r="J72" i="13" s="1"/>
  <c r="T71" i="13"/>
  <c r="T72" i="13" s="1"/>
  <c r="W71" i="13"/>
  <c r="W72" i="13" s="1"/>
  <c r="P71" i="13"/>
  <c r="P72" i="13" s="1"/>
  <c r="N71" i="13"/>
  <c r="N72" i="13" s="1"/>
  <c r="V71" i="13"/>
  <c r="V72" i="13" s="1"/>
  <c r="U71" i="13"/>
  <c r="U72" i="13" s="1"/>
  <c r="K71" i="13"/>
  <c r="K72" i="13" s="1"/>
  <c r="D71" i="13"/>
  <c r="AA68" i="13" l="1"/>
  <c r="AA67" i="13"/>
  <c r="AA69" i="13"/>
  <c r="AB68" i="13"/>
  <c r="AB69" i="13"/>
  <c r="AB67" i="13"/>
  <c r="R72" i="13"/>
  <c r="D72" i="13"/>
  <c r="AA72" i="13" l="1"/>
  <c r="AA70" i="13"/>
  <c r="AA71" i="13"/>
  <c r="D2" i="15"/>
  <c r="AB70" i="13"/>
  <c r="D5" i="15" s="1"/>
  <c r="AB72" i="13"/>
  <c r="D7" i="15" s="1"/>
  <c r="D4" i="15"/>
  <c r="D3" i="15"/>
  <c r="AB71" i="13"/>
  <c r="D6" i="15" s="1"/>
</calcChain>
</file>

<file path=xl/sharedStrings.xml><?xml version="1.0" encoding="utf-8"?>
<sst xmlns="http://schemas.openxmlformats.org/spreadsheetml/2006/main" count="2328" uniqueCount="225">
  <si>
    <t>https://administracion.gob.es/</t>
  </si>
  <si>
    <t>https://bonoculturajoven.gob.es/</t>
  </si>
  <si>
    <t>https://transparencia.gob.es/</t>
  </si>
  <si>
    <t>https://contrataciondelsectorpublico.gob.es/</t>
  </si>
  <si>
    <t>https://sede.imserso.gob.es/</t>
  </si>
  <si>
    <t>https://sede.administracionespublicas.gob.es/</t>
  </si>
  <si>
    <t>https://igualdad.sede.gob.es/</t>
  </si>
  <si>
    <t>https://cpage.mpr.gob.es/</t>
  </si>
  <si>
    <t>https://sede.mscbs.gob.es/</t>
  </si>
  <si>
    <t>https://sede.inap.gob.es/</t>
  </si>
  <si>
    <t>https://incual.educacion.gob.es/</t>
  </si>
  <si>
    <t>https://sede.csic.gob.es/</t>
  </si>
  <si>
    <t>https://www.defensa.gob.es/</t>
  </si>
  <si>
    <t>https://www.inmujeres.gob.es/</t>
  </si>
  <si>
    <t>https://www.universidades.gob.es/</t>
  </si>
  <si>
    <t>https://www.mites.gob.es/</t>
  </si>
  <si>
    <t>https://www.sanidad.gob.es/</t>
  </si>
  <si>
    <t>https://www.imserso.gob.es/</t>
  </si>
  <si>
    <t>https://www.ciencia.gob.es/</t>
  </si>
  <si>
    <t>https://www.miteco.gob.es/</t>
  </si>
  <si>
    <t>https://www.erasmusplus.gob.es/</t>
  </si>
  <si>
    <t>https://www.seguridadaerea.gob.es/</t>
  </si>
  <si>
    <t>Procedimiento seguido</t>
  </si>
  <si>
    <t>Muestra seleccionada</t>
  </si>
  <si>
    <t>Muestra final (aceptada por ROAW)</t>
  </si>
  <si>
    <t>https://administracionelectronica.gob.es/pae_Home</t>
  </si>
  <si>
    <t>https://www.becaseducacion.gob.es/portada.html</t>
  </si>
  <si>
    <t>https://www.infosubvenciones.gob.es/bdnstrans/GE/es/index</t>
  </si>
  <si>
    <t>https://www.mpr.gob.es/Paginas/index.aspx</t>
  </si>
  <si>
    <t>https://www.interior.gob.es/opencms/es/inicio/</t>
  </si>
  <si>
    <t>https://www.lamoncloa.gob.es/Paginas/index.aspx</t>
  </si>
  <si>
    <t>https://www.culturaydeporte.gob.es/portada.html</t>
  </si>
  <si>
    <t>https://sede.administracion.gob.es/PAG_Sede/HomeSede.html</t>
  </si>
  <si>
    <t>https://sede.defensa.gob.es/acceda/index</t>
  </si>
  <si>
    <t>https://www.administraciondejusticia.gob.es/lexnet</t>
  </si>
  <si>
    <t>https://subsede.pyme.minetur.gob.es/es-es/Paginas/PagInicio.aspx</t>
  </si>
  <si>
    <t>https://sede.seguridadaerea.gob.es/sede-aesa/</t>
  </si>
  <si>
    <t>https://sigpac.mapa.gob.es/fega/visor/</t>
  </si>
  <si>
    <t>https://www.mjusticia.gob.es/es</t>
  </si>
  <si>
    <t>En la pestaña de Muestra final se encuentra el listado de URLs inicial utilizado en el Rastreador del Observatorio de Accesibilidad Web y el listado de URLs analizadas por el Rastreador OAW ya que algunos sitios web dan error a la hora de analizarlo y los descarta. Concretamente, se para de la muestra inicial de 49 sitios web a 45.</t>
  </si>
  <si>
    <t>Informe 1</t>
  </si>
  <si>
    <t>Informe 2</t>
  </si>
  <si>
    <t>Informe 3</t>
  </si>
  <si>
    <t>Ok</t>
  </si>
  <si>
    <t>error</t>
  </si>
  <si>
    <t>Informe 4</t>
  </si>
  <si>
    <t>Procedimiento:</t>
  </si>
  <si>
    <t>1- Inicialmente se divide la muestra en dos gurpos. En el Informe 1 están los resultados del primer grupo y en el informe 2 están los resultados del segundo grupo</t>
  </si>
  <si>
    <t>2- Como en ambos casos existe alguna URL que es ignorada por el Rastreador OAW y se omite en los resultados, se vuelve a pasar el listado de las URLs ignoradas en el Informe 3</t>
  </si>
  <si>
    <t>-</t>
  </si>
  <si>
    <t>Total</t>
  </si>
  <si>
    <t>Muestra final</t>
  </si>
  <si>
    <t>3- En la columna de muestra final se está el listado de URLs que ha sido aceptada en alguno de los informes por el Rastreador OAW</t>
  </si>
  <si>
    <t>URL</t>
  </si>
  <si>
    <t>Nivel de adecuación estimado</t>
  </si>
  <si>
    <t>AA</t>
  </si>
  <si>
    <t>No Válido</t>
  </si>
  <si>
    <t>A</t>
  </si>
  <si>
    <t>Media:</t>
  </si>
  <si>
    <t>Máx</t>
  </si>
  <si>
    <t>Mín</t>
  </si>
  <si>
    <t>Cumplen AA</t>
  </si>
  <si>
    <t>Cumplen A</t>
  </si>
  <si>
    <t>No válido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</si>
  <si>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</si>
  <si>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</si>
  <si>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</si>
  <si>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</si>
  <si>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</si>
  <si>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</si>
  <si>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</si>
  <si>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</si>
  <si>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</si>
  <si>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</si>
  <si>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</si>
  <si>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</si>
  <si>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</si>
  <si>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</si>
  <si>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0 F</t>
  </si>
  <si>
    <t>0.5 P</t>
  </si>
  <si>
    <t>- P</t>
  </si>
  <si>
    <t>1 P</t>
  </si>
  <si>
    <t>2.1</t>
  </si>
  <si>
    <t>2.2</t>
  </si>
  <si>
    <t>2.3</t>
  </si>
  <si>
    <t>2.4</t>
  </si>
  <si>
    <t>2.5</t>
  </si>
  <si>
    <t>2.6</t>
  </si>
  <si>
    <t>Totales</t>
  </si>
  <si>
    <t>¿Unanimidad?</t>
  </si>
  <si>
    <t>Nivel de adecuación estimado original</t>
  </si>
  <si>
    <t>Fallos Nivel A</t>
  </si>
  <si>
    <t>Fallos Nivel AA</t>
  </si>
  <si>
    <t>Check original</t>
  </si>
  <si>
    <t>Nivel de adecuación estimado sin 1.7 y 2.1</t>
  </si>
  <si>
    <t>Página</t>
  </si>
  <si>
    <t>Página 1</t>
  </si>
  <si>
    <t>https://mpt.gob.es/index.html</t>
  </si>
  <si>
    <t>Página 2</t>
  </si>
  <si>
    <t>https://administracion.gob.es</t>
  </si>
  <si>
    <t>Página 3</t>
  </si>
  <si>
    <t>Página 4</t>
  </si>
  <si>
    <t>https://bonoculturajoven.gob.es</t>
  </si>
  <si>
    <t>Página 5</t>
  </si>
  <si>
    <t>https://transparencia.gob.es</t>
  </si>
  <si>
    <t>Página 6</t>
  </si>
  <si>
    <t>https://sede.imserso.gob.es</t>
  </si>
  <si>
    <t>Página 7</t>
  </si>
  <si>
    <t>https://www.consejodetransparencia.es/ct_Home/index.html</t>
  </si>
  <si>
    <t>Página 8</t>
  </si>
  <si>
    <t>https://energia.gob.es/es-es/Paginas/index.aspx</t>
  </si>
  <si>
    <t>Página 9</t>
  </si>
  <si>
    <t>https://www.defensa.gob.es</t>
  </si>
  <si>
    <t>Página 10</t>
  </si>
  <si>
    <t>https://www.inmujeres.gob.es</t>
  </si>
  <si>
    <t>Página 11</t>
  </si>
  <si>
    <t>https://universidades.sede.gob.es</t>
  </si>
  <si>
    <t>Página 12</t>
  </si>
  <si>
    <t>https://www.universidades.gob.es</t>
  </si>
  <si>
    <t>Página 13</t>
  </si>
  <si>
    <t>https://www.aica.gob.es</t>
  </si>
  <si>
    <t>Página 14</t>
  </si>
  <si>
    <t>https://sede.administracionespublicas.gob.es</t>
  </si>
  <si>
    <t>Página 15</t>
  </si>
  <si>
    <t>https://www.sanidad.gob.es</t>
  </si>
  <si>
    <t>Página 16</t>
  </si>
  <si>
    <t>https://www.imserso.gob.es</t>
  </si>
  <si>
    <t>Página 17</t>
  </si>
  <si>
    <t>https://datos.gob.es/es/</t>
  </si>
  <si>
    <t>Página 18</t>
  </si>
  <si>
    <t>https://www.ciencia.gob.es</t>
  </si>
  <si>
    <t>Página 19</t>
  </si>
  <si>
    <t>https://pnsd.sanidad.gob.es</t>
  </si>
  <si>
    <t>Página 20</t>
  </si>
  <si>
    <t>Página 21</t>
  </si>
  <si>
    <t>Página 22</t>
  </si>
  <si>
    <t>https://aneca.sede.gob.es</t>
  </si>
  <si>
    <t>Página 23</t>
  </si>
  <si>
    <t>https://www.sepe.es/HomeSepe/Personas/encontrar-trabajo/Garantia-Juvenil.html</t>
  </si>
  <si>
    <t>Página 24</t>
  </si>
  <si>
    <t>Página 25</t>
  </si>
  <si>
    <t>https://cpage.mpr.gob.es</t>
  </si>
  <si>
    <t>Página 26</t>
  </si>
  <si>
    <t>Página 27</t>
  </si>
  <si>
    <t>https://face.gob.es</t>
  </si>
  <si>
    <t>Página 28</t>
  </si>
  <si>
    <t>https://generaciond.gob.es</t>
  </si>
  <si>
    <t>Página 29</t>
  </si>
  <si>
    <t>https://carpetaciudadana.gob.es</t>
  </si>
  <si>
    <t>Página 30</t>
  </si>
  <si>
    <t>https://industria.gob.es/es-es/Paginas/Index.aspx</t>
  </si>
  <si>
    <t>Página 31</t>
  </si>
  <si>
    <t>https://ejercito.defensa.gob.es</t>
  </si>
  <si>
    <t>Página 32</t>
  </si>
  <si>
    <t>https://www.empleate.gob.es/empleo/index_nojs.html?JAVASCRIPTSTATUS=NONE</t>
  </si>
  <si>
    <t>Página 33</t>
  </si>
  <si>
    <t>https://sede.ine.gob.es</t>
  </si>
  <si>
    <t>Puntuación Media</t>
  </si>
  <si>
    <t>Explicación de cada pestaña</t>
  </si>
  <si>
    <t>https://mpt.gob.es</t>
  </si>
  <si>
    <t>https://administracionelectronica.gob.es</t>
  </si>
  <si>
    <t>https://contrataciondelsectorpublico.gob.es</t>
  </si>
  <si>
    <t>https://www.consejodetransparencia.gob.es</t>
  </si>
  <si>
    <t>https://energia.gob.es</t>
  </si>
  <si>
    <t>https://run.gob.es</t>
  </si>
  <si>
    <t>https://cvp.mitma.gob.es</t>
  </si>
  <si>
    <t>https://datos.gob.es</t>
  </si>
  <si>
    <t>https://www.lamoncloa.gob.es</t>
  </si>
  <si>
    <t>https://www.culturaydeporte.gob.es</t>
  </si>
  <si>
    <t>https://www.garantiajuvenil.gob.es</t>
  </si>
  <si>
    <t>https://sede.administracion.gob.es</t>
  </si>
  <si>
    <t>https://sede.defensa.gob.es</t>
  </si>
  <si>
    <t>https://www.sede.fnmt.gob.es</t>
  </si>
  <si>
    <t>https://industria.gob.es</t>
  </si>
  <si>
    <t>https://www.empleate.gob.es</t>
  </si>
  <si>
    <t>Archivo</t>
  </si>
  <si>
    <t>https://reclutamiento.defensa.gob.es</t>
  </si>
  <si>
    <t>https://www.inclusion.gob.es/home</t>
  </si>
  <si>
    <t>https://sede.inap.gob.es</t>
  </si>
  <si>
    <t>https://www.mapa.gob.es/es/</t>
  </si>
  <si>
    <t>https://incual.educacion.gob.es</t>
  </si>
  <si>
    <t>https://www.miteco.gob.es</t>
  </si>
  <si>
    <t>https://clave.gob.es/clave_Home/clave.html</t>
  </si>
  <si>
    <t>https://www.aei.gob.es</t>
  </si>
  <si>
    <t>https://sede.dgt.gob.es/es/</t>
  </si>
  <si>
    <t>https://sede.serviciosmin.gob.es/es-es/Paginas/Index.aspx</t>
  </si>
  <si>
    <t>https://www.administraciondejusticia.gob.es</t>
  </si>
  <si>
    <t>https://www.aesan.gob.es</t>
  </si>
  <si>
    <t>https://sede.csic.gob.es</t>
  </si>
  <si>
    <t>https://www.bne.gob.es/es</t>
  </si>
  <si>
    <t>https://www.seguridadaerea.gob.es</t>
  </si>
  <si>
    <t>https://www.igualdad.gob.es</t>
  </si>
  <si>
    <t>https://www.exteriores.gob.es/es/Paginas/index.aspx</t>
  </si>
  <si>
    <t>https://sede.muface.gob.es</t>
  </si>
  <si>
    <t>https://www.sedecatastro.gob.es</t>
  </si>
  <si>
    <t>https://cultura.sede.gob.es</t>
  </si>
  <si>
    <t>https://firmaelectronica.gob.es</t>
  </si>
  <si>
    <t>https://ceuta.transparencialocal.gob.es</t>
  </si>
  <si>
    <t>https://sede.agenciatributaria.gob.es</t>
  </si>
  <si>
    <t>https://sedeclave.dgt.gob.es</t>
  </si>
  <si>
    <t>https://www.mdsocialesa2030.gob.es</t>
  </si>
  <si>
    <t>https://www.educacionyfp.gob.es/portada.html</t>
  </si>
  <si>
    <t>https://www.aemps.gob.es</t>
  </si>
  <si>
    <t>https://sede.sepe.gob.es/portalSede</t>
  </si>
  <si>
    <t>https://erasmusplus.gob.es</t>
  </si>
  <si>
    <t>https://www.inclusion.gob.es</t>
  </si>
  <si>
    <t>https://www.mapa.gob.es</t>
  </si>
  <si>
    <t>https://clave.gob.es</t>
  </si>
  <si>
    <t>https://agendacultural.culturaydeporte.gob.es</t>
  </si>
  <si>
    <t>https://sede.dgt.gob.es</t>
  </si>
  <si>
    <t>https://sede.serviciosmin.gob.es</t>
  </si>
  <si>
    <t>https://sigpac.mapama.gob.es</t>
  </si>
  <si>
    <t>https://www.bne.gob.es</t>
  </si>
  <si>
    <t>https://sigpac.mapa.gob.es</t>
  </si>
  <si>
    <t>https://www.exteriores.gob.es</t>
  </si>
  <si>
    <t>https://sede.mjusticia.gob.es</t>
  </si>
  <si>
    <t>https://www.mjusticia.gob.es</t>
  </si>
  <si>
    <t>https://www.educacionyfp.gob.es</t>
  </si>
  <si>
    <t>https://sede.sepe.gob.es</t>
  </si>
  <si>
    <t>https://veranojoven.mitma.gob.es</t>
  </si>
  <si>
    <t>https://apps.fomento.gob.es</t>
  </si>
  <si>
    <t>https://www.mitma.gob.es</t>
  </si>
  <si>
    <t>4.0 GrPUB 1-37</t>
  </si>
  <si>
    <t>4.0 GrPUB 38-74</t>
  </si>
  <si>
    <t>Nº webs: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</si>
</sst>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0" fillId="0" borderId="0" xfId="0" applyAlignment="1">
      <alignment horizontal="left" wrapText="1" indent="3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2" fontId="2" fillId="2" borderId="0" xfId="0" applyNumberFormat="1" applyFont="1" applyFill="1"/>
    <xf numFmtId="10" fontId="2" fillId="2" borderId="0" xfId="1" applyNumberFormat="1" applyFont="1" applyFill="1"/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horizontal="right"/>
    </xf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  <xf numFmtId="9" fontId="0" fillId="0" borderId="0" xfId="1" applyFont="1" applyAlignment="1">
      <alignment horizontal="center"/>
    </xf>
    <xf numFmtId="9" fontId="1" fillId="3" borderId="0" xfId="1" applyFont="1" applyFill="1" applyAlignment="1">
      <alignment horizontal="center"/>
    </xf>
    <xf numFmtId="9" fontId="1" fillId="4" borderId="0" xfId="1" applyFont="1" applyFill="1" applyAlignment="1">
      <alignment horizontal="center"/>
    </xf>
    <xf numFmtId="9" fontId="1" fillId="5" borderId="0" xfId="1" applyFont="1" applyFill="1" applyAlignment="1">
      <alignment horizontal="center"/>
    </xf>
    <xf numFmtId="0" fontId="4" fillId="0" borderId="0" xfId="0" applyFont="1" applyAlignment="1">
      <alignment horizontal="left" wrapText="1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Porcentaje" xfId="1" builtinId="5"/>
  </cellStyles>
  <dxfs count="3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12A8C0-392A-4390-AFCB-83BB45E9FA3A}" name="Tabla1" displayName="Tabla1" ref="A1:AB65" totalsRowShown="0" headerRowDxfId="28" dataDxfId="27">
  <tableColumns count="28">
    <tableColumn id="1" xr3:uid="{1BCF8DDE-840F-4292-9BCD-5BD0AA3545EB}" name="Archivo"/>
    <tableColumn id="2" xr3:uid="{09ED8B61-C367-4A36-B4BD-C7D57D2602AA}" name="Página" dataDxfId="26"/>
    <tableColumn id="3" xr3:uid="{349B6571-6A1D-4A5E-85EB-FC98F0ECB0EC}" name="URL" dataDxfId="25"/>
    <tableColumn id="4" xr3:uid="{3618C7DE-F5AA-476C-A99D-E0E39D2AD375}" name="1.1" dataDxfId="24"/>
    <tableColumn id="5" xr3:uid="{121331E5-6BFC-424E-BE4F-7D4AC9B2672F}" name="1.2" dataDxfId="23"/>
    <tableColumn id="6" xr3:uid="{8322FD87-96A9-4572-86A5-8A2148CC7F98}" name="1.3" dataDxfId="22"/>
    <tableColumn id="7" xr3:uid="{5FD55EEA-8464-4F5A-A8F6-5EC27B66ADBF}" name="1.4" dataDxfId="21"/>
    <tableColumn id="8" xr3:uid="{DA05C496-856E-445E-ABC3-7F8B93A2A4CB}" name="1.5" dataDxfId="20"/>
    <tableColumn id="9" xr3:uid="{46E400CD-4205-4A75-993F-2A5DEE7C7D87}" name="1.6" dataDxfId="19"/>
    <tableColumn id="10" xr3:uid="{FC70842D-C2F8-4DAC-93A0-DFB413A714A4}" name="1.7" dataDxfId="18"/>
    <tableColumn id="11" xr3:uid="{08E6A049-CC6B-422D-B0FB-B6D0FE062731}" name="1.8" dataDxfId="17"/>
    <tableColumn id="12" xr3:uid="{AD1483B4-FA4F-427E-B1AA-1A6A2216424F}" name="1.9" dataDxfId="16"/>
    <tableColumn id="13" xr3:uid="{2D12C6B3-C5A0-4C69-8AFA-ECCA6FC0C90F}" name="1.10" dataDxfId="15"/>
    <tableColumn id="14" xr3:uid="{779361FE-747C-46DD-8EBF-2B9A9F16910A}" name="1.11" dataDxfId="14"/>
    <tableColumn id="15" xr3:uid="{15178251-FF0A-40C1-9DB8-F091094AAB4A}" name="1.12" dataDxfId="13"/>
    <tableColumn id="16" xr3:uid="{13518CF5-1646-414D-93EC-D08C989142CF}" name="1.13" dataDxfId="12"/>
    <tableColumn id="17" xr3:uid="{B9B823C2-7BD3-4AF9-B9FA-B43E7E5C856C}" name="1.14" dataDxfId="11"/>
    <tableColumn id="18" xr3:uid="{20D3E5E5-C691-4EA6-BB77-8C8270DB727D}" name="2.1" dataDxfId="10"/>
    <tableColumn id="19" xr3:uid="{2B3834AD-828F-4BB0-BB54-0B91828C2C61}" name="2.2" dataDxfId="9"/>
    <tableColumn id="20" xr3:uid="{306D15DC-309A-441E-B769-3E55C82B0B8E}" name="2.3" dataDxfId="8"/>
    <tableColumn id="21" xr3:uid="{90E4FDF7-B59E-424C-8C04-400665FF7DFD}" name="2.4" dataDxfId="7"/>
    <tableColumn id="22" xr3:uid="{24AB28FC-7EB6-4F23-B99D-CD67F1994BB7}" name="2.5" dataDxfId="6"/>
    <tableColumn id="23" xr3:uid="{E3A4AB47-BA00-4781-8796-F5EB97B82A2F}" name="2.6" dataDxfId="5"/>
    <tableColumn id="25" xr3:uid="{73781365-F2B5-4AFD-8438-E80205495BF3}" name="Fallos Nivel A" dataDxfId="4">
      <calculatedColumnFormula>COUNTIF(D2:Q2,"0 F")</calculatedColumnFormula>
    </tableColumn>
    <tableColumn id="26" xr3:uid="{D7220465-A800-43CF-99C3-7FAC54ED99A2}" name="Fallos Nivel AA" dataDxfId="3">
      <calculatedColumnFormula>COUNTIF(R2:W2,"0 F")</calculatedColumnFormula>
    </tableColumn>
    <tableColumn id="24" xr3:uid="{0CC337CB-05E2-445D-B8ED-BC755C162D92}" name="Nivel de adecuación estimado original" dataDxfId="2"/>
    <tableColumn id="27" xr3:uid="{E9706E02-BD85-4127-99D0-302725DBDE52}" name="Check original" dataDxfId="1">
      <calculatedColumnFormula>IF(X2&gt;2,"No válido",IF(Y2&lt;3,"AA","A"))</calculatedColumnFormula>
    </tableColumn>
    <tableColumn id="28" xr3:uid="{73505DB1-87CD-49D7-B7B1-BF37B78F8723}" name="Nivel de adecuación estimado sin 1.7 y 2.1" dataDxfId="0">
      <calculatedColumnFormula>IF(X2&gt;3,"No válido",IF(Y2&lt;4,"AA","A"))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B681E-EA3E-42BE-99BE-3262AC5CEEAA}">
  <sheetPr codeName="Hoja1"/>
  <dimension ref="A2:B25"/>
  <sheetViews>
    <sheetView workbookViewId="0">
      <selection activeCell="B4" sqref="B4"/>
    </sheetView>
  </sheetViews>
  <sheetFormatPr baseColWidth="10" defaultRowHeight="15" x14ac:dyDescent="0.25"/>
  <cols>
    <col min="2" max="2" width="103" style="3" customWidth="1"/>
  </cols>
  <sheetData>
    <row r="2" spans="1:2" ht="15.75" x14ac:dyDescent="0.25">
      <c r="A2" s="25" t="s">
        <v>158</v>
      </c>
      <c r="B2" s="25"/>
    </row>
    <row r="3" spans="1:2" x14ac:dyDescent="0.25">
      <c r="B3" s="3" t="s">
        <v>51</v>
      </c>
    </row>
    <row r="4" spans="1:2" x14ac:dyDescent="0.25">
      <c r="B4" s="6"/>
    </row>
    <row r="5" spans="1:2" ht="15.75" x14ac:dyDescent="0.25">
      <c r="B5" s="4"/>
    </row>
    <row r="6" spans="1:2" ht="15.75" x14ac:dyDescent="0.25">
      <c r="B6" s="4"/>
    </row>
    <row r="7" spans="1:2" ht="15.75" x14ac:dyDescent="0.25">
      <c r="B7" s="5" t="s">
        <v>22</v>
      </c>
    </row>
    <row r="8" spans="1:2" ht="15.75" x14ac:dyDescent="0.25">
      <c r="B8" s="4"/>
    </row>
    <row r="9" spans="1:2" ht="15.75" x14ac:dyDescent="0.25">
      <c r="B9" s="4"/>
    </row>
    <row r="10" spans="1:2" x14ac:dyDescent="0.25">
      <c r="B10" s="6"/>
    </row>
    <row r="11" spans="1:2" ht="15.75" x14ac:dyDescent="0.25">
      <c r="B11" s="4"/>
    </row>
    <row r="13" spans="1:2" ht="15.75" x14ac:dyDescent="0.25">
      <c r="B13" s="4"/>
    </row>
    <row r="14" spans="1:2" x14ac:dyDescent="0.25">
      <c r="B14" s="6"/>
    </row>
    <row r="15" spans="1:2" ht="15.75" x14ac:dyDescent="0.25">
      <c r="B15" s="4"/>
    </row>
    <row r="16" spans="1:2" ht="15.75" x14ac:dyDescent="0.25">
      <c r="B16" s="4"/>
    </row>
    <row r="17" spans="2:2" ht="15.75" x14ac:dyDescent="0.25">
      <c r="B17" s="4"/>
    </row>
    <row r="19" spans="2:2" ht="15.75" x14ac:dyDescent="0.25">
      <c r="B19" s="4"/>
    </row>
    <row r="25" spans="2:2" ht="63" x14ac:dyDescent="0.25">
      <c r="B25" s="4" t="s">
        <v>39</v>
      </c>
    </row>
  </sheetData>
  <mergeCells count="1">
    <mergeCell ref="A2:B2"/>
  </mergeCell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3903-0896-40AB-B294-F95F1BA53908}">
  <sheetPr codeName="Hoja11"/>
  <dimension ref="A1:J80"/>
  <sheetViews>
    <sheetView workbookViewId="0">
      <selection activeCell="D68" sqref="D68"/>
    </sheetView>
  </sheetViews>
  <sheetFormatPr baseColWidth="10" defaultRowHeight="15" x14ac:dyDescent="0.25"/>
  <cols>
    <col min="1" max="1" width="4.42578125" customWidth="1"/>
    <col min="2" max="2" width="49.28515625" bestFit="1" customWidth="1"/>
    <col min="3" max="6" width="12.85546875" style="7" customWidth="1"/>
    <col min="7" max="7" width="49.28515625" style="7" bestFit="1" customWidth="1"/>
    <col min="8" max="9" width="12.85546875" style="7" customWidth="1"/>
    <col min="10" max="10" width="72.42578125" bestFit="1" customWidth="1"/>
  </cols>
  <sheetData>
    <row r="1" spans="1:10" x14ac:dyDescent="0.25">
      <c r="B1" t="s">
        <v>46</v>
      </c>
    </row>
    <row r="2" spans="1:10" x14ac:dyDescent="0.25">
      <c r="B2" t="s">
        <v>47</v>
      </c>
    </row>
    <row r="3" spans="1:10" x14ac:dyDescent="0.25">
      <c r="B3" t="s">
        <v>48</v>
      </c>
    </row>
    <row r="4" spans="1:10" x14ac:dyDescent="0.25">
      <c r="B4" t="s">
        <v>52</v>
      </c>
    </row>
    <row r="6" spans="1:10" x14ac:dyDescent="0.25">
      <c r="B6" s="1" t="s">
        <v>23</v>
      </c>
      <c r="C6" s="8" t="s">
        <v>40</v>
      </c>
      <c r="D6" s="8" t="s">
        <v>41</v>
      </c>
      <c r="E6" s="8" t="s">
        <v>42</v>
      </c>
      <c r="F6" s="8" t="s">
        <v>45</v>
      </c>
      <c r="G6" s="11" t="s">
        <v>51</v>
      </c>
      <c r="J6" t="s">
        <v>24</v>
      </c>
    </row>
    <row r="7" spans="1:10" x14ac:dyDescent="0.25">
      <c r="A7">
        <v>1</v>
      </c>
      <c r="B7" t="s">
        <v>159</v>
      </c>
      <c r="C7" s="7" t="s">
        <v>43</v>
      </c>
      <c r="D7" s="9" t="s">
        <v>49</v>
      </c>
      <c r="E7" s="9" t="s">
        <v>49</v>
      </c>
      <c r="F7" s="9" t="s">
        <v>49</v>
      </c>
      <c r="G7" t="s">
        <v>97</v>
      </c>
      <c r="J7" t="s">
        <v>0</v>
      </c>
    </row>
    <row r="8" spans="1:10" x14ac:dyDescent="0.25">
      <c r="A8">
        <v>2</v>
      </c>
      <c r="B8" t="s">
        <v>99</v>
      </c>
      <c r="C8" s="7" t="s">
        <v>43</v>
      </c>
      <c r="D8" s="9" t="s">
        <v>49</v>
      </c>
      <c r="E8" s="9" t="s">
        <v>49</v>
      </c>
      <c r="F8" s="9" t="s">
        <v>49</v>
      </c>
      <c r="G8" t="s">
        <v>99</v>
      </c>
      <c r="J8" t="s">
        <v>25</v>
      </c>
    </row>
    <row r="9" spans="1:10" x14ac:dyDescent="0.25">
      <c r="A9">
        <v>3</v>
      </c>
      <c r="B9" t="s">
        <v>160</v>
      </c>
      <c r="C9" s="7" t="s">
        <v>43</v>
      </c>
      <c r="D9" s="9" t="s">
        <v>49</v>
      </c>
      <c r="E9" s="9" t="s">
        <v>49</v>
      </c>
      <c r="F9" s="9" t="s">
        <v>49</v>
      </c>
      <c r="G9" t="s">
        <v>25</v>
      </c>
      <c r="J9" t="s">
        <v>1</v>
      </c>
    </row>
    <row r="10" spans="1:10" x14ac:dyDescent="0.25">
      <c r="A10">
        <v>4</v>
      </c>
      <c r="B10" t="s">
        <v>102</v>
      </c>
      <c r="C10" s="7" t="s">
        <v>43</v>
      </c>
      <c r="D10" s="9" t="s">
        <v>49</v>
      </c>
      <c r="E10" s="9" t="s">
        <v>49</v>
      </c>
      <c r="F10" s="9" t="s">
        <v>49</v>
      </c>
      <c r="G10" t="s">
        <v>102</v>
      </c>
      <c r="J10" t="s">
        <v>2</v>
      </c>
    </row>
    <row r="11" spans="1:10" x14ac:dyDescent="0.25">
      <c r="A11">
        <v>5</v>
      </c>
      <c r="B11" t="s">
        <v>104</v>
      </c>
      <c r="C11" s="7" t="s">
        <v>43</v>
      </c>
      <c r="D11" s="9" t="s">
        <v>49</v>
      </c>
      <c r="E11" s="9" t="s">
        <v>49</v>
      </c>
      <c r="F11" s="9" t="s">
        <v>49</v>
      </c>
      <c r="G11" t="s">
        <v>104</v>
      </c>
      <c r="J11" t="s">
        <v>3</v>
      </c>
    </row>
    <row r="12" spans="1:10" x14ac:dyDescent="0.25">
      <c r="A12">
        <v>6</v>
      </c>
      <c r="B12" t="s">
        <v>161</v>
      </c>
      <c r="C12" s="7" t="s">
        <v>44</v>
      </c>
      <c r="D12" s="7" t="s">
        <v>43</v>
      </c>
      <c r="E12" s="9" t="s">
        <v>49</v>
      </c>
      <c r="F12" s="9" t="s">
        <v>49</v>
      </c>
      <c r="J12" t="s">
        <v>4</v>
      </c>
    </row>
    <row r="13" spans="1:10" x14ac:dyDescent="0.25">
      <c r="A13">
        <v>7</v>
      </c>
      <c r="B13" t="s">
        <v>106</v>
      </c>
      <c r="C13" s="7" t="s">
        <v>43</v>
      </c>
      <c r="D13" s="9" t="s">
        <v>49</v>
      </c>
      <c r="E13" s="9" t="s">
        <v>49</v>
      </c>
      <c r="F13" s="9" t="s">
        <v>49</v>
      </c>
      <c r="G13" t="s">
        <v>106</v>
      </c>
    </row>
    <row r="14" spans="1:10" x14ac:dyDescent="0.25">
      <c r="A14">
        <v>8</v>
      </c>
      <c r="B14" t="s">
        <v>162</v>
      </c>
      <c r="C14" s="7" t="s">
        <v>43</v>
      </c>
      <c r="D14" s="9" t="s">
        <v>49</v>
      </c>
      <c r="E14" s="9" t="s">
        <v>49</v>
      </c>
      <c r="F14" s="9" t="s">
        <v>49</v>
      </c>
      <c r="G14" t="s">
        <v>108</v>
      </c>
      <c r="J14" t="s">
        <v>12</v>
      </c>
    </row>
    <row r="15" spans="1:10" x14ac:dyDescent="0.25">
      <c r="A15">
        <v>9</v>
      </c>
      <c r="B15" t="s">
        <v>163</v>
      </c>
      <c r="C15" s="7" t="s">
        <v>43</v>
      </c>
      <c r="D15" s="9" t="s">
        <v>49</v>
      </c>
      <c r="E15" s="9" t="s">
        <v>49</v>
      </c>
      <c r="F15" s="9" t="s">
        <v>49</v>
      </c>
      <c r="G15" t="s">
        <v>110</v>
      </c>
      <c r="J15" t="s">
        <v>13</v>
      </c>
    </row>
    <row r="16" spans="1:10" x14ac:dyDescent="0.25">
      <c r="A16">
        <v>10</v>
      </c>
      <c r="B16" t="s">
        <v>164</v>
      </c>
      <c r="C16" s="7" t="s">
        <v>44</v>
      </c>
      <c r="D16" s="7" t="s">
        <v>44</v>
      </c>
      <c r="E16" s="9" t="s">
        <v>49</v>
      </c>
      <c r="F16" s="9" t="s">
        <v>49</v>
      </c>
      <c r="J16" t="s">
        <v>14</v>
      </c>
    </row>
    <row r="17" spans="1:10" x14ac:dyDescent="0.25">
      <c r="A17">
        <v>11</v>
      </c>
      <c r="B17" t="s">
        <v>112</v>
      </c>
      <c r="C17" s="7" t="s">
        <v>43</v>
      </c>
      <c r="D17" s="9" t="s">
        <v>49</v>
      </c>
      <c r="E17" s="9" t="s">
        <v>49</v>
      </c>
      <c r="F17" s="9" t="s">
        <v>49</v>
      </c>
      <c r="G17" t="s">
        <v>112</v>
      </c>
      <c r="J17" t="s">
        <v>26</v>
      </c>
    </row>
    <row r="18" spans="1:10" x14ac:dyDescent="0.25">
      <c r="A18">
        <v>12</v>
      </c>
      <c r="B18" t="s">
        <v>114</v>
      </c>
      <c r="C18" s="7" t="s">
        <v>43</v>
      </c>
      <c r="D18" s="9" t="s">
        <v>49</v>
      </c>
      <c r="E18" s="9" t="s">
        <v>49</v>
      </c>
      <c r="F18" s="9" t="s">
        <v>49</v>
      </c>
      <c r="G18" t="s">
        <v>114</v>
      </c>
      <c r="J18" t="s">
        <v>5</v>
      </c>
    </row>
    <row r="19" spans="1:10" x14ac:dyDescent="0.25">
      <c r="A19">
        <v>13</v>
      </c>
      <c r="B19" t="s">
        <v>116</v>
      </c>
      <c r="C19" s="7" t="s">
        <v>43</v>
      </c>
      <c r="D19" s="9" t="s">
        <v>49</v>
      </c>
      <c r="E19" s="9" t="s">
        <v>49</v>
      </c>
      <c r="F19" s="9" t="s">
        <v>49</v>
      </c>
      <c r="G19" t="s">
        <v>116</v>
      </c>
      <c r="J19" t="s">
        <v>15</v>
      </c>
    </row>
    <row r="20" spans="1:10" x14ac:dyDescent="0.25">
      <c r="A20">
        <v>14</v>
      </c>
      <c r="B20" t="s">
        <v>118</v>
      </c>
      <c r="C20" s="7" t="s">
        <v>43</v>
      </c>
      <c r="D20" s="9" t="s">
        <v>49</v>
      </c>
      <c r="E20" s="9" t="s">
        <v>49</v>
      </c>
      <c r="F20" s="9" t="s">
        <v>49</v>
      </c>
      <c r="G20" t="s">
        <v>118</v>
      </c>
      <c r="J20" t="s">
        <v>16</v>
      </c>
    </row>
    <row r="21" spans="1:10" x14ac:dyDescent="0.25">
      <c r="A21">
        <v>15</v>
      </c>
      <c r="B21" t="s">
        <v>120</v>
      </c>
      <c r="C21" s="7" t="s">
        <v>43</v>
      </c>
      <c r="D21" s="9" t="s">
        <v>49</v>
      </c>
      <c r="E21" s="9" t="s">
        <v>49</v>
      </c>
      <c r="F21" s="9" t="s">
        <v>49</v>
      </c>
      <c r="G21" t="s">
        <v>120</v>
      </c>
    </row>
    <row r="22" spans="1:10" x14ac:dyDescent="0.25">
      <c r="A22">
        <v>16</v>
      </c>
      <c r="B22" t="s">
        <v>122</v>
      </c>
      <c r="C22" s="7" t="s">
        <v>43</v>
      </c>
      <c r="D22" s="9" t="s">
        <v>49</v>
      </c>
      <c r="E22" s="9" t="s">
        <v>49</v>
      </c>
      <c r="F22" s="9" t="s">
        <v>49</v>
      </c>
      <c r="G22" t="s">
        <v>122</v>
      </c>
      <c r="J22" t="s">
        <v>6</v>
      </c>
    </row>
    <row r="23" spans="1:10" x14ac:dyDescent="0.25">
      <c r="A23">
        <v>17</v>
      </c>
      <c r="B23" t="s">
        <v>124</v>
      </c>
      <c r="C23" s="7" t="s">
        <v>43</v>
      </c>
      <c r="D23" s="9" t="s">
        <v>49</v>
      </c>
      <c r="E23" s="9" t="s">
        <v>49</v>
      </c>
      <c r="F23" s="9" t="s">
        <v>49</v>
      </c>
      <c r="G23" t="s">
        <v>124</v>
      </c>
      <c r="J23" t="s">
        <v>17</v>
      </c>
    </row>
    <row r="24" spans="1:10" x14ac:dyDescent="0.25">
      <c r="A24">
        <v>18</v>
      </c>
      <c r="B24" t="s">
        <v>126</v>
      </c>
      <c r="C24" s="7" t="s">
        <v>43</v>
      </c>
      <c r="D24" s="9" t="s">
        <v>49</v>
      </c>
      <c r="E24" s="9" t="s">
        <v>49</v>
      </c>
      <c r="F24" s="9" t="s">
        <v>49</v>
      </c>
      <c r="G24" t="s">
        <v>126</v>
      </c>
      <c r="J24" t="s">
        <v>18</v>
      </c>
    </row>
    <row r="25" spans="1:10" x14ac:dyDescent="0.25">
      <c r="A25">
        <v>19</v>
      </c>
      <c r="B25" t="s">
        <v>165</v>
      </c>
      <c r="C25" s="7" t="s">
        <v>44</v>
      </c>
      <c r="D25" s="7" t="s">
        <v>44</v>
      </c>
      <c r="E25" s="9" t="s">
        <v>49</v>
      </c>
      <c r="F25" s="9" t="s">
        <v>49</v>
      </c>
      <c r="J25" t="s">
        <v>27</v>
      </c>
    </row>
    <row r="26" spans="1:10" x14ac:dyDescent="0.25">
      <c r="A26">
        <v>20</v>
      </c>
      <c r="B26" t="s">
        <v>166</v>
      </c>
      <c r="C26" s="7" t="s">
        <v>43</v>
      </c>
      <c r="D26" s="9" t="s">
        <v>49</v>
      </c>
      <c r="E26" s="9" t="s">
        <v>49</v>
      </c>
      <c r="F26" s="9" t="s">
        <v>49</v>
      </c>
      <c r="G26" t="s">
        <v>128</v>
      </c>
      <c r="J26" t="s">
        <v>28</v>
      </c>
    </row>
    <row r="27" spans="1:10" x14ac:dyDescent="0.25">
      <c r="A27">
        <v>21</v>
      </c>
      <c r="B27" t="s">
        <v>130</v>
      </c>
      <c r="C27" s="7" t="s">
        <v>43</v>
      </c>
      <c r="D27" s="9" t="s">
        <v>49</v>
      </c>
      <c r="E27" s="9" t="s">
        <v>49</v>
      </c>
      <c r="F27" s="9" t="s">
        <v>49</v>
      </c>
      <c r="G27" t="s">
        <v>130</v>
      </c>
      <c r="J27" t="s">
        <v>29</v>
      </c>
    </row>
    <row r="28" spans="1:10" x14ac:dyDescent="0.25">
      <c r="A28">
        <v>22</v>
      </c>
      <c r="B28" t="s">
        <v>132</v>
      </c>
      <c r="C28" s="7" t="s">
        <v>43</v>
      </c>
      <c r="D28" s="9" t="s">
        <v>49</v>
      </c>
      <c r="E28" s="9" t="s">
        <v>49</v>
      </c>
      <c r="F28" s="9" t="s">
        <v>49</v>
      </c>
      <c r="G28" t="s">
        <v>132</v>
      </c>
      <c r="J28" t="s">
        <v>30</v>
      </c>
    </row>
    <row r="29" spans="1:10" x14ac:dyDescent="0.25">
      <c r="A29">
        <v>23</v>
      </c>
      <c r="B29" t="s">
        <v>167</v>
      </c>
      <c r="C29" s="7" t="s">
        <v>43</v>
      </c>
      <c r="D29" s="9" t="s">
        <v>49</v>
      </c>
      <c r="E29" s="9" t="s">
        <v>49</v>
      </c>
      <c r="F29" s="9" t="s">
        <v>49</v>
      </c>
      <c r="G29" t="s">
        <v>30</v>
      </c>
      <c r="J29" t="s">
        <v>31</v>
      </c>
    </row>
    <row r="30" spans="1:10" x14ac:dyDescent="0.25">
      <c r="A30">
        <v>24</v>
      </c>
      <c r="B30" t="s">
        <v>168</v>
      </c>
      <c r="C30" s="7" t="s">
        <v>43</v>
      </c>
      <c r="D30" s="9" t="s">
        <v>49</v>
      </c>
      <c r="E30" s="9" t="s">
        <v>49</v>
      </c>
      <c r="F30" s="9" t="s">
        <v>49</v>
      </c>
      <c r="G30" t="s">
        <v>31</v>
      </c>
      <c r="J30" t="s">
        <v>32</v>
      </c>
    </row>
    <row r="31" spans="1:10" x14ac:dyDescent="0.25">
      <c r="A31">
        <v>25</v>
      </c>
      <c r="B31" t="s">
        <v>136</v>
      </c>
      <c r="C31" s="7" t="s">
        <v>43</v>
      </c>
      <c r="D31" s="9" t="s">
        <v>49</v>
      </c>
      <c r="E31" s="9" t="s">
        <v>49</v>
      </c>
      <c r="F31" s="9" t="s">
        <v>49</v>
      </c>
      <c r="G31" t="s">
        <v>136</v>
      </c>
      <c r="J31" t="s">
        <v>7</v>
      </c>
    </row>
    <row r="32" spans="1:10" x14ac:dyDescent="0.25">
      <c r="A32">
        <v>26</v>
      </c>
      <c r="B32" t="s">
        <v>169</v>
      </c>
      <c r="C32" s="7" t="s">
        <v>43</v>
      </c>
      <c r="D32" s="9" t="s">
        <v>49</v>
      </c>
      <c r="E32" s="9" t="s">
        <v>49</v>
      </c>
      <c r="F32" s="9" t="s">
        <v>49</v>
      </c>
      <c r="G32" t="s">
        <v>138</v>
      </c>
      <c r="J32" t="s">
        <v>33</v>
      </c>
    </row>
    <row r="33" spans="1:10" x14ac:dyDescent="0.25">
      <c r="A33">
        <v>27</v>
      </c>
      <c r="B33" t="s">
        <v>170</v>
      </c>
      <c r="C33" s="7" t="s">
        <v>43</v>
      </c>
      <c r="D33" s="9" t="s">
        <v>49</v>
      </c>
      <c r="E33" s="9" t="s">
        <v>49</v>
      </c>
      <c r="F33" s="9" t="s">
        <v>49</v>
      </c>
      <c r="G33" t="s">
        <v>32</v>
      </c>
      <c r="J33" t="s">
        <v>8</v>
      </c>
    </row>
    <row r="34" spans="1:10" x14ac:dyDescent="0.25">
      <c r="A34">
        <v>28</v>
      </c>
      <c r="B34" t="s">
        <v>141</v>
      </c>
      <c r="C34" s="7" t="s">
        <v>43</v>
      </c>
      <c r="D34" s="9" t="s">
        <v>49</v>
      </c>
      <c r="E34" s="9" t="s">
        <v>49</v>
      </c>
      <c r="F34" s="9" t="s">
        <v>49</v>
      </c>
      <c r="G34" t="s">
        <v>141</v>
      </c>
      <c r="J34" t="s">
        <v>9</v>
      </c>
    </row>
    <row r="35" spans="1:10" x14ac:dyDescent="0.25">
      <c r="A35">
        <v>29</v>
      </c>
      <c r="B35" t="s">
        <v>171</v>
      </c>
      <c r="C35" s="7" t="s">
        <v>43</v>
      </c>
      <c r="D35" s="9" t="s">
        <v>49</v>
      </c>
      <c r="E35" s="9" t="s">
        <v>49</v>
      </c>
      <c r="F35" s="9" t="s">
        <v>49</v>
      </c>
      <c r="G35" t="s">
        <v>33</v>
      </c>
      <c r="J35" t="s">
        <v>34</v>
      </c>
    </row>
    <row r="36" spans="1:10" x14ac:dyDescent="0.25">
      <c r="A36">
        <v>30</v>
      </c>
      <c r="B36" t="s">
        <v>144</v>
      </c>
      <c r="C36" s="7" t="s">
        <v>43</v>
      </c>
      <c r="D36" s="9" t="s">
        <v>49</v>
      </c>
      <c r="E36" s="9" t="s">
        <v>49</v>
      </c>
      <c r="F36" s="9" t="s">
        <v>49</v>
      </c>
      <c r="G36" t="s">
        <v>144</v>
      </c>
    </row>
    <row r="37" spans="1:10" x14ac:dyDescent="0.25">
      <c r="A37">
        <v>31</v>
      </c>
      <c r="B37" t="s">
        <v>146</v>
      </c>
      <c r="C37" s="7" t="s">
        <v>43</v>
      </c>
      <c r="D37" s="9" t="s">
        <v>49</v>
      </c>
      <c r="E37" s="9" t="s">
        <v>49</v>
      </c>
      <c r="F37" s="9" t="s">
        <v>49</v>
      </c>
      <c r="G37" t="s">
        <v>146</v>
      </c>
      <c r="J37" t="s">
        <v>35</v>
      </c>
    </row>
    <row r="38" spans="1:10" x14ac:dyDescent="0.25">
      <c r="A38">
        <v>32</v>
      </c>
      <c r="B38" t="s">
        <v>148</v>
      </c>
      <c r="C38" s="7" t="s">
        <v>43</v>
      </c>
      <c r="D38" s="9" t="s">
        <v>49</v>
      </c>
      <c r="E38" s="9" t="s">
        <v>49</v>
      </c>
      <c r="F38" s="9" t="s">
        <v>49</v>
      </c>
      <c r="G38" t="s">
        <v>148</v>
      </c>
      <c r="J38" t="s">
        <v>10</v>
      </c>
    </row>
    <row r="39" spans="1:10" x14ac:dyDescent="0.25">
      <c r="A39">
        <v>33</v>
      </c>
      <c r="B39" t="s">
        <v>172</v>
      </c>
      <c r="C39" s="7" t="s">
        <v>44</v>
      </c>
      <c r="D39" s="7" t="s">
        <v>44</v>
      </c>
      <c r="E39" s="9" t="s">
        <v>49</v>
      </c>
      <c r="F39" s="9" t="s">
        <v>49</v>
      </c>
      <c r="J39" t="s">
        <v>19</v>
      </c>
    </row>
    <row r="40" spans="1:10" x14ac:dyDescent="0.25">
      <c r="A40">
        <v>34</v>
      </c>
      <c r="B40" t="s">
        <v>173</v>
      </c>
      <c r="C40" s="7" t="s">
        <v>43</v>
      </c>
      <c r="D40" s="9" t="s">
        <v>49</v>
      </c>
      <c r="E40" s="9" t="s">
        <v>49</v>
      </c>
      <c r="F40" s="9" t="s">
        <v>49</v>
      </c>
      <c r="G40" t="s">
        <v>150</v>
      </c>
      <c r="J40" t="s">
        <v>36</v>
      </c>
    </row>
    <row r="41" spans="1:10" x14ac:dyDescent="0.25">
      <c r="A41">
        <v>35</v>
      </c>
      <c r="B41" t="s">
        <v>152</v>
      </c>
      <c r="C41" s="7" t="s">
        <v>43</v>
      </c>
      <c r="D41" s="9" t="s">
        <v>49</v>
      </c>
      <c r="E41" s="9" t="s">
        <v>49</v>
      </c>
      <c r="F41" s="9" t="s">
        <v>49</v>
      </c>
      <c r="G41" t="s">
        <v>152</v>
      </c>
      <c r="J41" t="s">
        <v>20</v>
      </c>
    </row>
    <row r="42" spans="1:10" x14ac:dyDescent="0.25">
      <c r="A42">
        <v>36</v>
      </c>
      <c r="B42" t="s">
        <v>174</v>
      </c>
      <c r="C42" s="7" t="s">
        <v>43</v>
      </c>
      <c r="D42" s="9" t="s">
        <v>49</v>
      </c>
      <c r="E42" s="9" t="s">
        <v>49</v>
      </c>
      <c r="F42" s="9" t="s">
        <v>49</v>
      </c>
      <c r="G42" t="s">
        <v>154</v>
      </c>
      <c r="J42" t="s">
        <v>11</v>
      </c>
    </row>
    <row r="43" spans="1:10" x14ac:dyDescent="0.25">
      <c r="A43">
        <v>37</v>
      </c>
      <c r="B43" t="s">
        <v>156</v>
      </c>
      <c r="C43" s="7" t="s">
        <v>43</v>
      </c>
      <c r="D43" s="9" t="s">
        <v>49</v>
      </c>
      <c r="E43" s="9" t="s">
        <v>49</v>
      </c>
      <c r="F43" s="9" t="s">
        <v>49</v>
      </c>
      <c r="G43" t="s">
        <v>156</v>
      </c>
      <c r="J43" t="s">
        <v>21</v>
      </c>
    </row>
    <row r="44" spans="1:10" x14ac:dyDescent="0.25">
      <c r="A44">
        <v>38</v>
      </c>
      <c r="B44" t="s">
        <v>176</v>
      </c>
      <c r="C44" s="7" t="s">
        <v>43</v>
      </c>
      <c r="D44" s="9" t="s">
        <v>49</v>
      </c>
      <c r="E44" s="9" t="s">
        <v>49</v>
      </c>
      <c r="F44" s="9" t="s">
        <v>49</v>
      </c>
      <c r="G44" s="10" t="s">
        <v>176</v>
      </c>
    </row>
    <row r="45" spans="1:10" x14ac:dyDescent="0.25">
      <c r="A45">
        <v>39</v>
      </c>
      <c r="B45" t="s">
        <v>205</v>
      </c>
      <c r="C45" s="7" t="s">
        <v>43</v>
      </c>
      <c r="D45" s="9" t="s">
        <v>49</v>
      </c>
      <c r="E45" s="9" t="s">
        <v>49</v>
      </c>
      <c r="F45" s="9" t="s">
        <v>49</v>
      </c>
      <c r="G45" s="10" t="s">
        <v>177</v>
      </c>
    </row>
    <row r="46" spans="1:10" x14ac:dyDescent="0.25">
      <c r="A46">
        <v>40</v>
      </c>
      <c r="B46" t="s">
        <v>178</v>
      </c>
      <c r="C46" s="7" t="s">
        <v>43</v>
      </c>
      <c r="D46" s="9" t="s">
        <v>49</v>
      </c>
      <c r="E46" s="9" t="s">
        <v>49</v>
      </c>
      <c r="F46" s="9" t="s">
        <v>49</v>
      </c>
      <c r="G46" s="10" t="s">
        <v>178</v>
      </c>
    </row>
    <row r="47" spans="1:10" x14ac:dyDescent="0.25">
      <c r="A47">
        <v>41</v>
      </c>
      <c r="B47" t="s">
        <v>206</v>
      </c>
      <c r="C47" s="7" t="s">
        <v>43</v>
      </c>
      <c r="D47" s="9" t="s">
        <v>49</v>
      </c>
      <c r="E47" s="9" t="s">
        <v>49</v>
      </c>
      <c r="F47" s="9" t="s">
        <v>49</v>
      </c>
      <c r="G47" s="10" t="s">
        <v>179</v>
      </c>
    </row>
    <row r="48" spans="1:10" x14ac:dyDescent="0.25">
      <c r="A48">
        <v>42</v>
      </c>
      <c r="B48" t="s">
        <v>180</v>
      </c>
      <c r="C48" s="7" t="s">
        <v>43</v>
      </c>
      <c r="D48" s="9" t="s">
        <v>49</v>
      </c>
      <c r="E48" s="9" t="s">
        <v>49</v>
      </c>
      <c r="F48" s="9" t="s">
        <v>49</v>
      </c>
      <c r="G48" s="10" t="s">
        <v>180</v>
      </c>
    </row>
    <row r="49" spans="1:7" x14ac:dyDescent="0.25">
      <c r="A49">
        <v>43</v>
      </c>
      <c r="B49" t="s">
        <v>181</v>
      </c>
      <c r="C49" s="7" t="s">
        <v>43</v>
      </c>
      <c r="D49" s="9" t="s">
        <v>49</v>
      </c>
      <c r="E49" s="9" t="s">
        <v>49</v>
      </c>
      <c r="F49" s="9" t="s">
        <v>49</v>
      </c>
      <c r="G49" s="10" t="s">
        <v>181</v>
      </c>
    </row>
    <row r="50" spans="1:7" x14ac:dyDescent="0.25">
      <c r="A50">
        <v>44</v>
      </c>
      <c r="B50" t="s">
        <v>207</v>
      </c>
      <c r="C50" s="7" t="s">
        <v>43</v>
      </c>
      <c r="D50" s="9" t="s">
        <v>49</v>
      </c>
      <c r="E50" s="9" t="s">
        <v>49</v>
      </c>
      <c r="F50" s="9" t="s">
        <v>49</v>
      </c>
      <c r="G50" s="10" t="s">
        <v>182</v>
      </c>
    </row>
    <row r="51" spans="1:7" x14ac:dyDescent="0.25">
      <c r="A51">
        <v>45</v>
      </c>
      <c r="B51" t="s">
        <v>183</v>
      </c>
      <c r="C51" s="7" t="s">
        <v>43</v>
      </c>
      <c r="D51" s="9" t="s">
        <v>49</v>
      </c>
      <c r="E51" s="9" t="s">
        <v>49</v>
      </c>
      <c r="F51" s="9" t="s">
        <v>49</v>
      </c>
      <c r="G51" s="10" t="s">
        <v>183</v>
      </c>
    </row>
    <row r="52" spans="1:7" x14ac:dyDescent="0.25">
      <c r="A52">
        <v>46</v>
      </c>
      <c r="B52" t="s">
        <v>208</v>
      </c>
      <c r="C52" s="7" t="s">
        <v>44</v>
      </c>
      <c r="D52" s="7" t="s">
        <v>44</v>
      </c>
      <c r="E52" s="9" t="s">
        <v>49</v>
      </c>
      <c r="F52" s="9" t="s">
        <v>49</v>
      </c>
    </row>
    <row r="53" spans="1:7" x14ac:dyDescent="0.25">
      <c r="A53">
        <v>47</v>
      </c>
      <c r="B53" t="s">
        <v>209</v>
      </c>
      <c r="C53" s="7" t="s">
        <v>43</v>
      </c>
      <c r="D53" s="9" t="s">
        <v>49</v>
      </c>
      <c r="E53" s="9" t="s">
        <v>49</v>
      </c>
      <c r="F53" s="9" t="s">
        <v>49</v>
      </c>
      <c r="G53" s="10" t="s">
        <v>184</v>
      </c>
    </row>
    <row r="54" spans="1:7" x14ac:dyDescent="0.25">
      <c r="A54">
        <v>48</v>
      </c>
      <c r="B54" t="s">
        <v>210</v>
      </c>
      <c r="C54" s="7" t="s">
        <v>43</v>
      </c>
      <c r="D54" s="9" t="s">
        <v>49</v>
      </c>
      <c r="E54" s="9" t="s">
        <v>49</v>
      </c>
      <c r="F54" s="9" t="s">
        <v>49</v>
      </c>
      <c r="G54" s="10" t="s">
        <v>185</v>
      </c>
    </row>
    <row r="55" spans="1:7" x14ac:dyDescent="0.25">
      <c r="A55">
        <v>49</v>
      </c>
      <c r="B55" t="s">
        <v>186</v>
      </c>
      <c r="C55" s="7" t="s">
        <v>43</v>
      </c>
      <c r="D55" s="9" t="s">
        <v>49</v>
      </c>
      <c r="E55" s="9" t="s">
        <v>49</v>
      </c>
      <c r="F55" s="9" t="s">
        <v>49</v>
      </c>
      <c r="G55" s="10" t="s">
        <v>186</v>
      </c>
    </row>
    <row r="56" spans="1:7" x14ac:dyDescent="0.25">
      <c r="A56">
        <v>50</v>
      </c>
      <c r="B56" t="s">
        <v>187</v>
      </c>
      <c r="C56" s="7" t="s">
        <v>43</v>
      </c>
      <c r="D56" s="9" t="s">
        <v>49</v>
      </c>
      <c r="E56" s="9" t="s">
        <v>49</v>
      </c>
      <c r="F56" s="9" t="s">
        <v>49</v>
      </c>
      <c r="G56" s="10" t="s">
        <v>187</v>
      </c>
    </row>
    <row r="57" spans="1:7" x14ac:dyDescent="0.25">
      <c r="A57">
        <v>51</v>
      </c>
      <c r="B57" t="s">
        <v>211</v>
      </c>
      <c r="C57" s="7" t="s">
        <v>43</v>
      </c>
      <c r="D57" s="9" t="s">
        <v>49</v>
      </c>
      <c r="E57" s="9" t="s">
        <v>49</v>
      </c>
      <c r="F57" s="9" t="s">
        <v>49</v>
      </c>
      <c r="G57" t="s">
        <v>37</v>
      </c>
    </row>
    <row r="58" spans="1:7" x14ac:dyDescent="0.25">
      <c r="A58">
        <v>52</v>
      </c>
      <c r="B58" t="s">
        <v>188</v>
      </c>
      <c r="C58" s="7" t="s">
        <v>43</v>
      </c>
      <c r="D58" s="9" t="s">
        <v>49</v>
      </c>
      <c r="E58" s="9" t="s">
        <v>49</v>
      </c>
      <c r="F58" s="9" t="s">
        <v>49</v>
      </c>
      <c r="G58" t="s">
        <v>188</v>
      </c>
    </row>
    <row r="59" spans="1:7" x14ac:dyDescent="0.25">
      <c r="A59">
        <v>53</v>
      </c>
      <c r="B59" t="s">
        <v>212</v>
      </c>
      <c r="C59" s="7" t="s">
        <v>43</v>
      </c>
      <c r="D59" s="9" t="s">
        <v>49</v>
      </c>
      <c r="E59" s="9" t="s">
        <v>49</v>
      </c>
      <c r="F59" s="9" t="s">
        <v>49</v>
      </c>
      <c r="G59" t="s">
        <v>189</v>
      </c>
    </row>
    <row r="60" spans="1:7" x14ac:dyDescent="0.25">
      <c r="A60">
        <v>54</v>
      </c>
      <c r="B60" t="s">
        <v>213</v>
      </c>
      <c r="C60" s="7" t="s">
        <v>44</v>
      </c>
      <c r="D60" s="9" t="s">
        <v>43</v>
      </c>
      <c r="E60" s="9" t="s">
        <v>49</v>
      </c>
      <c r="F60" s="9" t="s">
        <v>49</v>
      </c>
    </row>
    <row r="61" spans="1:7" x14ac:dyDescent="0.25">
      <c r="A61">
        <v>55</v>
      </c>
      <c r="B61" t="s">
        <v>190</v>
      </c>
      <c r="C61" s="7" t="s">
        <v>43</v>
      </c>
      <c r="D61" s="9" t="s">
        <v>49</v>
      </c>
      <c r="E61" s="9" t="s">
        <v>49</v>
      </c>
      <c r="F61" s="9" t="s">
        <v>49</v>
      </c>
      <c r="G61" t="s">
        <v>190</v>
      </c>
    </row>
    <row r="62" spans="1:7" x14ac:dyDescent="0.25">
      <c r="A62">
        <v>56</v>
      </c>
      <c r="B62" t="s">
        <v>191</v>
      </c>
      <c r="C62" s="7" t="s">
        <v>43</v>
      </c>
      <c r="D62" s="9" t="s">
        <v>49</v>
      </c>
      <c r="E62" s="9" t="s">
        <v>49</v>
      </c>
      <c r="F62" s="9" t="s">
        <v>49</v>
      </c>
      <c r="G62" t="s">
        <v>191</v>
      </c>
    </row>
    <row r="63" spans="1:7" x14ac:dyDescent="0.25">
      <c r="A63">
        <v>57</v>
      </c>
      <c r="B63" t="s">
        <v>214</v>
      </c>
      <c r="C63" s="7" t="s">
        <v>43</v>
      </c>
      <c r="D63" s="9" t="s">
        <v>49</v>
      </c>
      <c r="E63" s="9" t="s">
        <v>49</v>
      </c>
      <c r="F63" s="9" t="s">
        <v>49</v>
      </c>
      <c r="G63" t="s">
        <v>192</v>
      </c>
    </row>
    <row r="64" spans="1:7" x14ac:dyDescent="0.25">
      <c r="A64">
        <v>58</v>
      </c>
      <c r="B64" t="s">
        <v>193</v>
      </c>
      <c r="C64" s="7" t="s">
        <v>43</v>
      </c>
      <c r="D64" s="9" t="s">
        <v>49</v>
      </c>
      <c r="E64" s="9" t="s">
        <v>49</v>
      </c>
      <c r="F64" s="9" t="s">
        <v>49</v>
      </c>
      <c r="G64" t="s">
        <v>193</v>
      </c>
    </row>
    <row r="65" spans="1:7" x14ac:dyDescent="0.25">
      <c r="A65">
        <v>59</v>
      </c>
      <c r="B65" t="s">
        <v>194</v>
      </c>
      <c r="C65" s="7" t="s">
        <v>43</v>
      </c>
      <c r="D65" s="9" t="s">
        <v>49</v>
      </c>
      <c r="E65" s="9" t="s">
        <v>49</v>
      </c>
      <c r="F65" s="9" t="s">
        <v>49</v>
      </c>
      <c r="G65" t="s">
        <v>194</v>
      </c>
    </row>
    <row r="66" spans="1:7" x14ac:dyDescent="0.25">
      <c r="A66">
        <v>60</v>
      </c>
      <c r="B66" t="s">
        <v>195</v>
      </c>
      <c r="C66" s="7" t="s">
        <v>43</v>
      </c>
      <c r="D66" s="9" t="s">
        <v>49</v>
      </c>
      <c r="E66" s="9" t="s">
        <v>49</v>
      </c>
      <c r="F66" s="9" t="s">
        <v>49</v>
      </c>
      <c r="G66" t="s">
        <v>195</v>
      </c>
    </row>
    <row r="67" spans="1:7" x14ac:dyDescent="0.25">
      <c r="A67">
        <v>61</v>
      </c>
      <c r="B67" t="s">
        <v>196</v>
      </c>
      <c r="C67" s="7" t="s">
        <v>43</v>
      </c>
      <c r="D67" s="9" t="s">
        <v>49</v>
      </c>
      <c r="E67" s="9" t="s">
        <v>49</v>
      </c>
      <c r="F67" s="9" t="s">
        <v>49</v>
      </c>
      <c r="G67" t="s">
        <v>196</v>
      </c>
    </row>
    <row r="68" spans="1:7" x14ac:dyDescent="0.25">
      <c r="A68">
        <v>62</v>
      </c>
      <c r="B68" t="s">
        <v>215</v>
      </c>
      <c r="C68" s="7" t="s">
        <v>44</v>
      </c>
      <c r="D68" s="9" t="s">
        <v>43</v>
      </c>
      <c r="E68" s="9" t="s">
        <v>49</v>
      </c>
      <c r="F68" s="9" t="s">
        <v>49</v>
      </c>
    </row>
    <row r="69" spans="1:7" x14ac:dyDescent="0.25">
      <c r="A69">
        <v>63</v>
      </c>
      <c r="B69" t="s">
        <v>216</v>
      </c>
      <c r="C69" s="7" t="s">
        <v>43</v>
      </c>
      <c r="D69" s="9" t="s">
        <v>49</v>
      </c>
      <c r="E69" s="9" t="s">
        <v>49</v>
      </c>
      <c r="F69" s="9" t="s">
        <v>49</v>
      </c>
      <c r="G69" t="s">
        <v>38</v>
      </c>
    </row>
    <row r="70" spans="1:7" x14ac:dyDescent="0.25">
      <c r="A70">
        <v>64</v>
      </c>
      <c r="B70" t="s">
        <v>197</v>
      </c>
      <c r="C70" s="7" t="s">
        <v>43</v>
      </c>
      <c r="D70" s="9" t="s">
        <v>49</v>
      </c>
      <c r="E70" s="9" t="s">
        <v>49</v>
      </c>
      <c r="F70" s="9" t="s">
        <v>49</v>
      </c>
      <c r="G70" t="s">
        <v>197</v>
      </c>
    </row>
    <row r="71" spans="1:7" x14ac:dyDescent="0.25">
      <c r="A71">
        <v>65</v>
      </c>
      <c r="B71" t="s">
        <v>198</v>
      </c>
      <c r="C71" s="7" t="s">
        <v>43</v>
      </c>
      <c r="D71" s="9" t="s">
        <v>49</v>
      </c>
      <c r="E71" s="9" t="s">
        <v>49</v>
      </c>
      <c r="F71" s="9" t="s">
        <v>49</v>
      </c>
      <c r="G71" t="s">
        <v>198</v>
      </c>
    </row>
    <row r="72" spans="1:7" x14ac:dyDescent="0.25">
      <c r="A72">
        <v>66</v>
      </c>
      <c r="B72" t="s">
        <v>199</v>
      </c>
      <c r="C72" s="7" t="s">
        <v>43</v>
      </c>
      <c r="D72" s="9" t="s">
        <v>49</v>
      </c>
      <c r="E72" s="9" t="s">
        <v>49</v>
      </c>
      <c r="F72" s="9" t="s">
        <v>49</v>
      </c>
      <c r="G72" t="s">
        <v>199</v>
      </c>
    </row>
    <row r="73" spans="1:7" x14ac:dyDescent="0.25">
      <c r="A73">
        <v>67</v>
      </c>
      <c r="B73" t="s">
        <v>200</v>
      </c>
      <c r="C73" s="7" t="s">
        <v>43</v>
      </c>
      <c r="D73" s="9" t="s">
        <v>49</v>
      </c>
      <c r="E73" s="9" t="s">
        <v>49</v>
      </c>
      <c r="F73" s="9" t="s">
        <v>49</v>
      </c>
      <c r="G73" t="s">
        <v>200</v>
      </c>
    </row>
    <row r="74" spans="1:7" x14ac:dyDescent="0.25">
      <c r="A74">
        <v>68</v>
      </c>
      <c r="B74" t="s">
        <v>217</v>
      </c>
      <c r="C74" s="7" t="s">
        <v>43</v>
      </c>
      <c r="D74" s="9" t="s">
        <v>49</v>
      </c>
      <c r="E74" s="9" t="s">
        <v>49</v>
      </c>
      <c r="F74" s="9" t="s">
        <v>49</v>
      </c>
      <c r="G74" t="s">
        <v>201</v>
      </c>
    </row>
    <row r="75" spans="1:7" x14ac:dyDescent="0.25">
      <c r="A75">
        <v>69</v>
      </c>
      <c r="B75" t="s">
        <v>202</v>
      </c>
      <c r="C75" s="7" t="s">
        <v>43</v>
      </c>
      <c r="D75" s="9" t="s">
        <v>49</v>
      </c>
      <c r="E75" s="9" t="s">
        <v>49</v>
      </c>
      <c r="F75" s="9" t="s">
        <v>49</v>
      </c>
      <c r="G75" t="s">
        <v>202</v>
      </c>
    </row>
    <row r="76" spans="1:7" x14ac:dyDescent="0.25">
      <c r="A76">
        <v>70</v>
      </c>
      <c r="B76" t="s">
        <v>218</v>
      </c>
      <c r="C76" s="7" t="s">
        <v>43</v>
      </c>
      <c r="D76" s="9" t="s">
        <v>49</v>
      </c>
      <c r="E76" s="9" t="s">
        <v>49</v>
      </c>
      <c r="F76" s="9" t="s">
        <v>49</v>
      </c>
      <c r="G76" t="s">
        <v>203</v>
      </c>
    </row>
    <row r="77" spans="1:7" x14ac:dyDescent="0.25">
      <c r="A77">
        <v>71</v>
      </c>
      <c r="B77" t="s">
        <v>219</v>
      </c>
      <c r="C77" s="7" t="s">
        <v>44</v>
      </c>
      <c r="D77" s="7" t="s">
        <v>44</v>
      </c>
      <c r="E77" s="9" t="s">
        <v>49</v>
      </c>
      <c r="F77" s="9" t="s">
        <v>49</v>
      </c>
    </row>
    <row r="78" spans="1:7" x14ac:dyDescent="0.25">
      <c r="A78">
        <v>72</v>
      </c>
      <c r="B78" t="s">
        <v>204</v>
      </c>
      <c r="C78" s="7" t="s">
        <v>43</v>
      </c>
      <c r="D78" s="9" t="s">
        <v>49</v>
      </c>
      <c r="E78" s="9" t="s">
        <v>49</v>
      </c>
      <c r="F78" s="9" t="s">
        <v>49</v>
      </c>
      <c r="G78" t="s">
        <v>204</v>
      </c>
    </row>
    <row r="79" spans="1:7" x14ac:dyDescent="0.25">
      <c r="A79">
        <v>73</v>
      </c>
      <c r="B79" t="s">
        <v>220</v>
      </c>
      <c r="C79" s="7" t="s">
        <v>44</v>
      </c>
      <c r="D79" s="7" t="s">
        <v>44</v>
      </c>
      <c r="E79" s="9" t="s">
        <v>49</v>
      </c>
      <c r="F79" s="9" t="s">
        <v>49</v>
      </c>
    </row>
    <row r="80" spans="1:7" x14ac:dyDescent="0.25">
      <c r="A80">
        <v>74</v>
      </c>
      <c r="B80" t="s">
        <v>221</v>
      </c>
      <c r="C80" s="7" t="s">
        <v>44</v>
      </c>
      <c r="D80" s="7" t="s">
        <v>44</v>
      </c>
      <c r="E80" s="9" t="s">
        <v>49</v>
      </c>
      <c r="F80" s="9" t="s">
        <v>49</v>
      </c>
    </row>
  </sheetData>
  <autoFilter ref="A6:G80" xr:uid="{20453903-0896-40AB-B294-F95F1BA53908}"/>
  <conditionalFormatting sqref="C7:F80">
    <cfRule type="containsText" dxfId="32" priority="1" operator="containsText" text="error">
      <formula>NOT(ISERROR(SEARCH("error",C7)))</formula>
    </cfRule>
    <cfRule type="containsText" dxfId="31" priority="2" operator="containsText" text="Ok">
      <formula>NOT(ISERROR(SEARCH("Ok",C7)))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1DD7-FA5C-4D10-BDDC-6D15522EEDD7}">
  <dimension ref="A1:H65"/>
  <sheetViews>
    <sheetView workbookViewId="0">
      <selection activeCell="G1" sqref="G1:H1"/>
    </sheetView>
  </sheetViews>
  <sheetFormatPr baseColWidth="10" defaultRowHeight="15" x14ac:dyDescent="0.25"/>
  <cols>
    <col min="1" max="1" width="15.140625" customWidth="1"/>
    <col min="3" max="3" width="49.28515625" bestFit="1" customWidth="1"/>
    <col min="4" max="4" width="13.140625" style="7" customWidth="1"/>
    <col min="5" max="5" width="11.42578125" style="7"/>
  </cols>
  <sheetData>
    <row r="1" spans="1:8" ht="45" x14ac:dyDescent="0.25">
      <c r="A1" s="14" t="s">
        <v>175</v>
      </c>
      <c r="B1" s="14" t="s">
        <v>95</v>
      </c>
      <c r="C1" s="14" t="s">
        <v>53</v>
      </c>
      <c r="D1" s="14" t="s">
        <v>157</v>
      </c>
      <c r="E1" s="14" t="s">
        <v>54</v>
      </c>
      <c r="G1" s="14" t="s">
        <v>224</v>
      </c>
      <c r="H1" s="27">
        <f>COUNTA(C:C)-1</f>
        <v>64</v>
      </c>
    </row>
    <row r="2" spans="1:8" x14ac:dyDescent="0.25">
      <c r="A2" t="s">
        <v>222</v>
      </c>
      <c r="B2" t="s">
        <v>96</v>
      </c>
      <c r="C2" t="s">
        <v>97</v>
      </c>
      <c r="D2" s="7">
        <v>7.5</v>
      </c>
      <c r="E2" s="7" t="s">
        <v>56</v>
      </c>
      <c r="G2" s="2" t="s">
        <v>58</v>
      </c>
      <c r="H2" s="15">
        <f>AVERAGE(D:D)</f>
        <v>6.7578124999999991</v>
      </c>
    </row>
    <row r="3" spans="1:8" x14ac:dyDescent="0.25">
      <c r="A3" t="s">
        <v>222</v>
      </c>
      <c r="B3" t="s">
        <v>98</v>
      </c>
      <c r="C3" t="s">
        <v>99</v>
      </c>
      <c r="D3" s="7">
        <v>7.9</v>
      </c>
      <c r="E3" s="7" t="s">
        <v>56</v>
      </c>
      <c r="G3" s="2" t="s">
        <v>59</v>
      </c>
      <c r="H3" s="15">
        <f>MAX(D:D)</f>
        <v>9</v>
      </c>
    </row>
    <row r="4" spans="1:8" x14ac:dyDescent="0.25">
      <c r="A4" t="s">
        <v>222</v>
      </c>
      <c r="B4" t="s">
        <v>100</v>
      </c>
      <c r="C4" t="s">
        <v>25</v>
      </c>
      <c r="D4" s="7">
        <v>7</v>
      </c>
      <c r="E4" s="7" t="s">
        <v>56</v>
      </c>
      <c r="G4" s="2" t="s">
        <v>60</v>
      </c>
      <c r="H4" s="15">
        <f>MIN(D:D)</f>
        <v>3.2</v>
      </c>
    </row>
    <row r="5" spans="1:8" x14ac:dyDescent="0.25">
      <c r="A5" t="s">
        <v>222</v>
      </c>
      <c r="B5" t="s">
        <v>101</v>
      </c>
      <c r="C5" t="s">
        <v>102</v>
      </c>
      <c r="D5" s="7">
        <v>6.5</v>
      </c>
      <c r="E5" s="7" t="s">
        <v>56</v>
      </c>
      <c r="G5" s="2" t="s">
        <v>61</v>
      </c>
      <c r="H5" s="16">
        <f>COUNTIF(E:E,"AA")/(COUNTIF(E:E,"AA")+COUNTIF(E:E,"A")+COUNTIF(E:E,"No válido"))</f>
        <v>0.28125</v>
      </c>
    </row>
    <row r="6" spans="1:8" x14ac:dyDescent="0.25">
      <c r="A6" t="s">
        <v>222</v>
      </c>
      <c r="B6" t="s">
        <v>103</v>
      </c>
      <c r="C6" t="s">
        <v>104</v>
      </c>
      <c r="D6" s="7">
        <v>6.3</v>
      </c>
      <c r="E6" s="7" t="s">
        <v>56</v>
      </c>
      <c r="G6" s="2" t="s">
        <v>62</v>
      </c>
      <c r="H6" s="16">
        <f>COUNTIF(E:E,"A")/(COUNTIF(E:E,"AA")+COUNTIF(E:E,"A")+COUNTIF(E:E,"No válido"))</f>
        <v>3.125E-2</v>
      </c>
    </row>
    <row r="7" spans="1:8" x14ac:dyDescent="0.25">
      <c r="A7" t="s">
        <v>222</v>
      </c>
      <c r="B7" t="s">
        <v>105</v>
      </c>
      <c r="C7" t="s">
        <v>106</v>
      </c>
      <c r="D7" s="7">
        <v>8.9</v>
      </c>
      <c r="E7" s="7" t="s">
        <v>55</v>
      </c>
      <c r="G7" s="2" t="s">
        <v>63</v>
      </c>
      <c r="H7" s="16">
        <f>COUNTIF(E:E,"No válido")/(COUNTIF(E:E,"AA")+COUNTIF(E:E,"A")+COUNTIF(E:E,"No válido"))</f>
        <v>0.6875</v>
      </c>
    </row>
    <row r="8" spans="1:8" x14ac:dyDescent="0.25">
      <c r="A8" t="s">
        <v>222</v>
      </c>
      <c r="B8" t="s">
        <v>107</v>
      </c>
      <c r="C8" t="s">
        <v>108</v>
      </c>
      <c r="D8" s="7">
        <v>5.5</v>
      </c>
      <c r="E8" s="7" t="s">
        <v>56</v>
      </c>
    </row>
    <row r="9" spans="1:8" x14ac:dyDescent="0.25">
      <c r="A9" t="s">
        <v>222</v>
      </c>
      <c r="B9" t="s">
        <v>109</v>
      </c>
      <c r="C9" t="s">
        <v>110</v>
      </c>
      <c r="D9" s="7">
        <v>8.9</v>
      </c>
      <c r="E9" s="7" t="s">
        <v>55</v>
      </c>
    </row>
    <row r="10" spans="1:8" x14ac:dyDescent="0.25">
      <c r="A10" t="s">
        <v>222</v>
      </c>
      <c r="B10" t="s">
        <v>111</v>
      </c>
      <c r="C10" t="s">
        <v>112</v>
      </c>
      <c r="D10" s="7">
        <v>7.4</v>
      </c>
      <c r="E10" s="7" t="s">
        <v>56</v>
      </c>
    </row>
    <row r="11" spans="1:8" x14ac:dyDescent="0.25">
      <c r="A11" t="s">
        <v>222</v>
      </c>
      <c r="B11" t="s">
        <v>113</v>
      </c>
      <c r="C11" t="s">
        <v>114</v>
      </c>
      <c r="D11" s="7">
        <v>6.5</v>
      </c>
      <c r="E11" s="7" t="s">
        <v>56</v>
      </c>
    </row>
    <row r="12" spans="1:8" x14ac:dyDescent="0.25">
      <c r="A12" t="s">
        <v>222</v>
      </c>
      <c r="B12" t="s">
        <v>115</v>
      </c>
      <c r="C12" t="s">
        <v>116</v>
      </c>
      <c r="D12" s="7">
        <v>7.1</v>
      </c>
      <c r="E12" s="7" t="s">
        <v>57</v>
      </c>
    </row>
    <row r="13" spans="1:8" x14ac:dyDescent="0.25">
      <c r="A13" t="s">
        <v>222</v>
      </c>
      <c r="B13" t="s">
        <v>117</v>
      </c>
      <c r="C13" t="s">
        <v>118</v>
      </c>
      <c r="D13" s="7">
        <v>3.7</v>
      </c>
      <c r="E13" s="7" t="s">
        <v>56</v>
      </c>
    </row>
    <row r="14" spans="1:8" x14ac:dyDescent="0.25">
      <c r="A14" t="s">
        <v>222</v>
      </c>
      <c r="B14" t="s">
        <v>119</v>
      </c>
      <c r="C14" t="s">
        <v>120</v>
      </c>
      <c r="D14" s="7">
        <v>5.8</v>
      </c>
      <c r="E14" s="7" t="s">
        <v>56</v>
      </c>
    </row>
    <row r="15" spans="1:8" x14ac:dyDescent="0.25">
      <c r="A15" t="s">
        <v>222</v>
      </c>
      <c r="B15" t="s">
        <v>121</v>
      </c>
      <c r="C15" t="s">
        <v>122</v>
      </c>
      <c r="D15" s="7">
        <v>7.1</v>
      </c>
      <c r="E15" s="7" t="s">
        <v>57</v>
      </c>
    </row>
    <row r="16" spans="1:8" x14ac:dyDescent="0.25">
      <c r="A16" t="s">
        <v>222</v>
      </c>
      <c r="B16" t="s">
        <v>123</v>
      </c>
      <c r="C16" t="s">
        <v>124</v>
      </c>
      <c r="D16" s="7">
        <v>8.4</v>
      </c>
      <c r="E16" s="7" t="s">
        <v>55</v>
      </c>
    </row>
    <row r="17" spans="1:5" x14ac:dyDescent="0.25">
      <c r="A17" t="s">
        <v>222</v>
      </c>
      <c r="B17" t="s">
        <v>125</v>
      </c>
      <c r="C17" t="s">
        <v>126</v>
      </c>
      <c r="D17" s="7">
        <v>8.9</v>
      </c>
      <c r="E17" s="7" t="s">
        <v>55</v>
      </c>
    </row>
    <row r="18" spans="1:5" x14ac:dyDescent="0.25">
      <c r="A18" t="s">
        <v>222</v>
      </c>
      <c r="B18" t="s">
        <v>127</v>
      </c>
      <c r="C18" t="s">
        <v>128</v>
      </c>
      <c r="D18" s="7">
        <v>7.4</v>
      </c>
      <c r="E18" s="7" t="s">
        <v>56</v>
      </c>
    </row>
    <row r="19" spans="1:5" x14ac:dyDescent="0.25">
      <c r="A19" t="s">
        <v>222</v>
      </c>
      <c r="B19" t="s">
        <v>129</v>
      </c>
      <c r="C19" t="s">
        <v>130</v>
      </c>
      <c r="D19" s="7">
        <v>4.5</v>
      </c>
      <c r="E19" s="7" t="s">
        <v>56</v>
      </c>
    </row>
    <row r="20" spans="1:5" x14ac:dyDescent="0.25">
      <c r="A20" t="s">
        <v>222</v>
      </c>
      <c r="B20" t="s">
        <v>131</v>
      </c>
      <c r="C20" t="s">
        <v>132</v>
      </c>
      <c r="D20" s="7">
        <v>7.9</v>
      </c>
      <c r="E20" s="7" t="s">
        <v>55</v>
      </c>
    </row>
    <row r="21" spans="1:5" x14ac:dyDescent="0.25">
      <c r="A21" t="s">
        <v>222</v>
      </c>
      <c r="B21" t="s">
        <v>133</v>
      </c>
      <c r="C21" t="s">
        <v>30</v>
      </c>
      <c r="D21" s="7">
        <v>7.9</v>
      </c>
      <c r="E21" s="7" t="s">
        <v>56</v>
      </c>
    </row>
    <row r="22" spans="1:5" x14ac:dyDescent="0.25">
      <c r="A22" t="s">
        <v>222</v>
      </c>
      <c r="B22" t="s">
        <v>134</v>
      </c>
      <c r="C22" t="s">
        <v>31</v>
      </c>
      <c r="D22" s="7">
        <v>8.1</v>
      </c>
      <c r="E22" s="7" t="s">
        <v>55</v>
      </c>
    </row>
    <row r="23" spans="1:5" x14ac:dyDescent="0.25">
      <c r="A23" t="s">
        <v>222</v>
      </c>
      <c r="B23" t="s">
        <v>135</v>
      </c>
      <c r="C23" t="s">
        <v>136</v>
      </c>
      <c r="D23" s="7">
        <v>5.3</v>
      </c>
      <c r="E23" s="7" t="s">
        <v>56</v>
      </c>
    </row>
    <row r="24" spans="1:5" x14ac:dyDescent="0.25">
      <c r="A24" t="s">
        <v>222</v>
      </c>
      <c r="B24" t="s">
        <v>137</v>
      </c>
      <c r="C24" t="s">
        <v>138</v>
      </c>
      <c r="D24" s="7">
        <v>6.8</v>
      </c>
      <c r="E24" s="7" t="s">
        <v>56</v>
      </c>
    </row>
    <row r="25" spans="1:5" x14ac:dyDescent="0.25">
      <c r="A25" t="s">
        <v>222</v>
      </c>
      <c r="B25" t="s">
        <v>139</v>
      </c>
      <c r="C25" t="s">
        <v>32</v>
      </c>
      <c r="D25" s="7">
        <v>7.9</v>
      </c>
      <c r="E25" s="7" t="s">
        <v>56</v>
      </c>
    </row>
    <row r="26" spans="1:5" x14ac:dyDescent="0.25">
      <c r="A26" t="s">
        <v>222</v>
      </c>
      <c r="B26" t="s">
        <v>140</v>
      </c>
      <c r="C26" t="s">
        <v>141</v>
      </c>
      <c r="D26" s="7">
        <v>4.7</v>
      </c>
      <c r="E26" s="7" t="s">
        <v>56</v>
      </c>
    </row>
    <row r="27" spans="1:5" x14ac:dyDescent="0.25">
      <c r="A27" t="s">
        <v>222</v>
      </c>
      <c r="B27" t="s">
        <v>142</v>
      </c>
      <c r="C27" t="s">
        <v>33</v>
      </c>
      <c r="D27" s="7">
        <v>8.4</v>
      </c>
      <c r="E27" s="7" t="s">
        <v>55</v>
      </c>
    </row>
    <row r="28" spans="1:5" x14ac:dyDescent="0.25">
      <c r="A28" t="s">
        <v>222</v>
      </c>
      <c r="B28" t="s">
        <v>143</v>
      </c>
      <c r="C28" t="s">
        <v>144</v>
      </c>
      <c r="D28" s="7">
        <v>4.7</v>
      </c>
      <c r="E28" s="7" t="s">
        <v>56</v>
      </c>
    </row>
    <row r="29" spans="1:5" x14ac:dyDescent="0.25">
      <c r="A29" t="s">
        <v>222</v>
      </c>
      <c r="B29" t="s">
        <v>145</v>
      </c>
      <c r="C29" t="s">
        <v>146</v>
      </c>
      <c r="D29" s="7">
        <v>4.7</v>
      </c>
      <c r="E29" s="7" t="s">
        <v>56</v>
      </c>
    </row>
    <row r="30" spans="1:5" x14ac:dyDescent="0.25">
      <c r="A30" t="s">
        <v>222</v>
      </c>
      <c r="B30" t="s">
        <v>147</v>
      </c>
      <c r="C30" t="s">
        <v>148</v>
      </c>
      <c r="D30" s="7">
        <v>8.4</v>
      </c>
      <c r="E30" s="7" t="s">
        <v>55</v>
      </c>
    </row>
    <row r="31" spans="1:5" x14ac:dyDescent="0.25">
      <c r="A31" t="s">
        <v>222</v>
      </c>
      <c r="B31" t="s">
        <v>149</v>
      </c>
      <c r="C31" t="s">
        <v>150</v>
      </c>
      <c r="D31" s="7">
        <v>8.4</v>
      </c>
      <c r="E31" s="7" t="s">
        <v>55</v>
      </c>
    </row>
    <row r="32" spans="1:5" x14ac:dyDescent="0.25">
      <c r="A32" t="s">
        <v>222</v>
      </c>
      <c r="B32" t="s">
        <v>151</v>
      </c>
      <c r="C32" t="s">
        <v>152</v>
      </c>
      <c r="D32" s="7">
        <v>5.3</v>
      </c>
      <c r="E32" s="7" t="s">
        <v>56</v>
      </c>
    </row>
    <row r="33" spans="1:5" x14ac:dyDescent="0.25">
      <c r="A33" t="s">
        <v>222</v>
      </c>
      <c r="B33" t="s">
        <v>153</v>
      </c>
      <c r="C33" t="s">
        <v>154</v>
      </c>
      <c r="D33" s="7">
        <v>4.7</v>
      </c>
      <c r="E33" s="7" t="s">
        <v>56</v>
      </c>
    </row>
    <row r="34" spans="1:5" x14ac:dyDescent="0.25">
      <c r="A34" t="s">
        <v>222</v>
      </c>
      <c r="B34" t="s">
        <v>155</v>
      </c>
      <c r="C34" t="s">
        <v>156</v>
      </c>
      <c r="D34" s="7">
        <v>8.9</v>
      </c>
      <c r="E34" s="7" t="s">
        <v>55</v>
      </c>
    </row>
    <row r="35" spans="1:5" x14ac:dyDescent="0.25">
      <c r="A35" t="s">
        <v>223</v>
      </c>
      <c r="B35" t="s">
        <v>96</v>
      </c>
      <c r="C35" s="10" t="s">
        <v>176</v>
      </c>
      <c r="D35" s="7">
        <v>5.9</v>
      </c>
      <c r="E35" s="7" t="s">
        <v>56</v>
      </c>
    </row>
    <row r="36" spans="1:5" x14ac:dyDescent="0.25">
      <c r="A36" t="s">
        <v>223</v>
      </c>
      <c r="B36" t="s">
        <v>98</v>
      </c>
      <c r="C36" s="10" t="s">
        <v>177</v>
      </c>
      <c r="D36" s="7">
        <v>4.7</v>
      </c>
      <c r="E36" s="7" t="s">
        <v>56</v>
      </c>
    </row>
    <row r="37" spans="1:5" x14ac:dyDescent="0.25">
      <c r="A37" t="s">
        <v>223</v>
      </c>
      <c r="B37" t="s">
        <v>100</v>
      </c>
      <c r="C37" s="10" t="s">
        <v>178</v>
      </c>
      <c r="D37" s="7">
        <v>7.4</v>
      </c>
      <c r="E37" s="7" t="s">
        <v>56</v>
      </c>
    </row>
    <row r="38" spans="1:5" x14ac:dyDescent="0.25">
      <c r="A38" t="s">
        <v>223</v>
      </c>
      <c r="B38" t="s">
        <v>101</v>
      </c>
      <c r="C38" s="10" t="s">
        <v>179</v>
      </c>
      <c r="D38" s="7">
        <v>7.9</v>
      </c>
      <c r="E38" s="7" t="s">
        <v>55</v>
      </c>
    </row>
    <row r="39" spans="1:5" x14ac:dyDescent="0.25">
      <c r="A39" t="s">
        <v>223</v>
      </c>
      <c r="B39" t="s">
        <v>103</v>
      </c>
      <c r="C39" s="10" t="s">
        <v>180</v>
      </c>
      <c r="D39" s="7">
        <v>9</v>
      </c>
      <c r="E39" s="7" t="s">
        <v>55</v>
      </c>
    </row>
    <row r="40" spans="1:5" x14ac:dyDescent="0.25">
      <c r="A40" t="s">
        <v>223</v>
      </c>
      <c r="B40" t="s">
        <v>105</v>
      </c>
      <c r="C40" s="10" t="s">
        <v>181</v>
      </c>
      <c r="D40" s="7">
        <v>7.9</v>
      </c>
      <c r="E40" s="7" t="s">
        <v>56</v>
      </c>
    </row>
    <row r="41" spans="1:5" x14ac:dyDescent="0.25">
      <c r="A41" t="s">
        <v>223</v>
      </c>
      <c r="B41" t="s">
        <v>107</v>
      </c>
      <c r="C41" s="10" t="s">
        <v>182</v>
      </c>
      <c r="D41" s="7">
        <v>6.8</v>
      </c>
      <c r="E41" s="7" t="s">
        <v>56</v>
      </c>
    </row>
    <row r="42" spans="1:5" x14ac:dyDescent="0.25">
      <c r="A42" t="s">
        <v>223</v>
      </c>
      <c r="B42" t="s">
        <v>109</v>
      </c>
      <c r="C42" s="10" t="s">
        <v>183</v>
      </c>
      <c r="D42" s="7">
        <v>7</v>
      </c>
      <c r="E42" s="7" t="s">
        <v>56</v>
      </c>
    </row>
    <row r="43" spans="1:5" x14ac:dyDescent="0.25">
      <c r="A43" t="s">
        <v>223</v>
      </c>
      <c r="B43" t="s">
        <v>111</v>
      </c>
      <c r="C43" s="10" t="s">
        <v>184</v>
      </c>
      <c r="D43" s="7">
        <v>3.2</v>
      </c>
      <c r="E43" s="7" t="s">
        <v>56</v>
      </c>
    </row>
    <row r="44" spans="1:5" x14ac:dyDescent="0.25">
      <c r="A44" t="s">
        <v>223</v>
      </c>
      <c r="B44" t="s">
        <v>113</v>
      </c>
      <c r="C44" s="10" t="s">
        <v>185</v>
      </c>
      <c r="D44" s="7">
        <v>6.8</v>
      </c>
      <c r="E44" s="7" t="s">
        <v>56</v>
      </c>
    </row>
    <row r="45" spans="1:5" x14ac:dyDescent="0.25">
      <c r="A45" t="s">
        <v>223</v>
      </c>
      <c r="B45" t="s">
        <v>115</v>
      </c>
      <c r="C45" s="10" t="s">
        <v>186</v>
      </c>
      <c r="D45" s="7">
        <v>6.8</v>
      </c>
      <c r="E45" s="7" t="s">
        <v>56</v>
      </c>
    </row>
    <row r="46" spans="1:5" x14ac:dyDescent="0.25">
      <c r="A46" t="s">
        <v>223</v>
      </c>
      <c r="B46" t="s">
        <v>117</v>
      </c>
      <c r="C46" s="10" t="s">
        <v>187</v>
      </c>
      <c r="D46" s="7">
        <v>4.7</v>
      </c>
      <c r="E46" s="7" t="s">
        <v>56</v>
      </c>
    </row>
    <row r="47" spans="1:5" x14ac:dyDescent="0.25">
      <c r="A47" t="s">
        <v>223</v>
      </c>
      <c r="B47" t="s">
        <v>119</v>
      </c>
      <c r="C47" t="s">
        <v>37</v>
      </c>
      <c r="D47" s="7">
        <v>4.4000000000000004</v>
      </c>
      <c r="E47" s="7" t="s">
        <v>56</v>
      </c>
    </row>
    <row r="48" spans="1:5" x14ac:dyDescent="0.25">
      <c r="A48" t="s">
        <v>223</v>
      </c>
      <c r="B48" t="s">
        <v>121</v>
      </c>
      <c r="C48" t="s">
        <v>188</v>
      </c>
      <c r="D48" s="7">
        <v>8</v>
      </c>
      <c r="E48" s="7" t="s">
        <v>56</v>
      </c>
    </row>
    <row r="49" spans="1:5" x14ac:dyDescent="0.25">
      <c r="A49" t="s">
        <v>223</v>
      </c>
      <c r="B49" t="s">
        <v>123</v>
      </c>
      <c r="C49" t="s">
        <v>189</v>
      </c>
      <c r="D49" s="7">
        <v>7.9</v>
      </c>
      <c r="E49" s="7" t="s">
        <v>55</v>
      </c>
    </row>
    <row r="50" spans="1:5" x14ac:dyDescent="0.25">
      <c r="A50" t="s">
        <v>223</v>
      </c>
      <c r="B50" t="s">
        <v>125</v>
      </c>
      <c r="C50" t="s">
        <v>190</v>
      </c>
      <c r="D50" s="7">
        <v>5.8</v>
      </c>
      <c r="E50" s="7" t="s">
        <v>56</v>
      </c>
    </row>
    <row r="51" spans="1:5" x14ac:dyDescent="0.25">
      <c r="A51" t="s">
        <v>223</v>
      </c>
      <c r="B51" t="s">
        <v>127</v>
      </c>
      <c r="C51" t="s">
        <v>191</v>
      </c>
      <c r="D51" s="7">
        <v>6.5</v>
      </c>
      <c r="E51" s="7" t="s">
        <v>56</v>
      </c>
    </row>
    <row r="52" spans="1:5" x14ac:dyDescent="0.25">
      <c r="A52" t="s">
        <v>223</v>
      </c>
      <c r="B52" t="s">
        <v>129</v>
      </c>
      <c r="C52" t="s">
        <v>192</v>
      </c>
      <c r="D52" s="7">
        <v>6.3</v>
      </c>
      <c r="E52" s="7" t="s">
        <v>56</v>
      </c>
    </row>
    <row r="53" spans="1:5" x14ac:dyDescent="0.25">
      <c r="A53" t="s">
        <v>223</v>
      </c>
      <c r="B53" t="s">
        <v>131</v>
      </c>
      <c r="C53" t="s">
        <v>193</v>
      </c>
      <c r="D53" s="7">
        <v>5.6</v>
      </c>
      <c r="E53" s="7" t="s">
        <v>56</v>
      </c>
    </row>
    <row r="54" spans="1:5" x14ac:dyDescent="0.25">
      <c r="A54" t="s">
        <v>223</v>
      </c>
      <c r="B54" t="s">
        <v>133</v>
      </c>
      <c r="C54" t="s">
        <v>194</v>
      </c>
      <c r="D54" s="7">
        <v>6.8</v>
      </c>
      <c r="E54" s="7" t="s">
        <v>56</v>
      </c>
    </row>
    <row r="55" spans="1:5" x14ac:dyDescent="0.25">
      <c r="A55" t="s">
        <v>223</v>
      </c>
      <c r="B55" t="s">
        <v>134</v>
      </c>
      <c r="C55" t="s">
        <v>195</v>
      </c>
      <c r="D55" s="7">
        <v>7.6</v>
      </c>
      <c r="E55" s="7" t="s">
        <v>55</v>
      </c>
    </row>
    <row r="56" spans="1:5" x14ac:dyDescent="0.25">
      <c r="A56" t="s">
        <v>223</v>
      </c>
      <c r="B56" t="s">
        <v>135</v>
      </c>
      <c r="C56" t="s">
        <v>196</v>
      </c>
      <c r="D56" s="7">
        <v>8.4</v>
      </c>
      <c r="E56" s="7" t="s">
        <v>55</v>
      </c>
    </row>
    <row r="57" spans="1:5" x14ac:dyDescent="0.25">
      <c r="A57" t="s">
        <v>223</v>
      </c>
      <c r="B57" t="s">
        <v>137</v>
      </c>
      <c r="C57" t="s">
        <v>38</v>
      </c>
      <c r="D57" s="7">
        <v>5.3</v>
      </c>
      <c r="E57" s="7" t="s">
        <v>56</v>
      </c>
    </row>
    <row r="58" spans="1:5" x14ac:dyDescent="0.25">
      <c r="A58" t="s">
        <v>223</v>
      </c>
      <c r="B58" t="s">
        <v>139</v>
      </c>
      <c r="C58" t="s">
        <v>197</v>
      </c>
      <c r="D58" s="7">
        <v>6.3</v>
      </c>
      <c r="E58" s="7" t="s">
        <v>56</v>
      </c>
    </row>
    <row r="59" spans="1:5" x14ac:dyDescent="0.25">
      <c r="A59" t="s">
        <v>223</v>
      </c>
      <c r="B59" t="s">
        <v>140</v>
      </c>
      <c r="C59" t="s">
        <v>198</v>
      </c>
      <c r="D59" s="7">
        <v>8.9</v>
      </c>
      <c r="E59" s="7" t="s">
        <v>55</v>
      </c>
    </row>
    <row r="60" spans="1:5" x14ac:dyDescent="0.25">
      <c r="A60" t="s">
        <v>223</v>
      </c>
      <c r="B60" t="s">
        <v>142</v>
      </c>
      <c r="C60" t="s">
        <v>199</v>
      </c>
      <c r="D60" s="7">
        <v>4.2</v>
      </c>
      <c r="E60" s="7" t="s">
        <v>56</v>
      </c>
    </row>
    <row r="61" spans="1:5" x14ac:dyDescent="0.25">
      <c r="A61" t="s">
        <v>223</v>
      </c>
      <c r="B61" t="s">
        <v>143</v>
      </c>
      <c r="C61" t="s">
        <v>200</v>
      </c>
      <c r="D61" s="7">
        <v>7.4</v>
      </c>
      <c r="E61" s="7" t="s">
        <v>56</v>
      </c>
    </row>
    <row r="62" spans="1:5" x14ac:dyDescent="0.25">
      <c r="A62" t="s">
        <v>223</v>
      </c>
      <c r="B62" t="s">
        <v>145</v>
      </c>
      <c r="C62" t="s">
        <v>201</v>
      </c>
      <c r="D62" s="7">
        <v>8.4</v>
      </c>
      <c r="E62" s="7" t="s">
        <v>55</v>
      </c>
    </row>
    <row r="63" spans="1:5" x14ac:dyDescent="0.25">
      <c r="A63" t="s">
        <v>223</v>
      </c>
      <c r="B63" t="s">
        <v>147</v>
      </c>
      <c r="C63" t="s">
        <v>202</v>
      </c>
      <c r="D63" s="7">
        <v>5.3</v>
      </c>
      <c r="E63" s="7" t="s">
        <v>56</v>
      </c>
    </row>
    <row r="64" spans="1:5" x14ac:dyDescent="0.25">
      <c r="A64" t="s">
        <v>223</v>
      </c>
      <c r="B64" t="s">
        <v>149</v>
      </c>
      <c r="C64" t="s">
        <v>203</v>
      </c>
      <c r="D64" s="7">
        <v>8.9</v>
      </c>
      <c r="E64" s="7" t="s">
        <v>55</v>
      </c>
    </row>
    <row r="65" spans="1:5" x14ac:dyDescent="0.25">
      <c r="A65" t="s">
        <v>223</v>
      </c>
      <c r="B65" t="s">
        <v>151</v>
      </c>
      <c r="C65" t="s">
        <v>204</v>
      </c>
      <c r="D65" s="7">
        <v>5</v>
      </c>
      <c r="E65" s="7" t="s">
        <v>56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D47FB-DC13-43AA-AC4D-5669F27A4C5A}">
  <dimension ref="A1:AB72"/>
  <sheetViews>
    <sheetView tabSelected="1" topLeftCell="G1" workbookViewId="0">
      <pane ySplit="1" topLeftCell="A2" activePane="bottomLeft" state="frozen"/>
      <selection pane="bottomLeft" activeCell="D1" sqref="D1:W1048576"/>
    </sheetView>
  </sheetViews>
  <sheetFormatPr baseColWidth="10" defaultRowHeight="15" x14ac:dyDescent="0.25"/>
  <cols>
    <col min="1" max="1" width="14.7109375" bestFit="1" customWidth="1"/>
    <col min="2" max="2" width="10.140625" style="7" bestFit="1" customWidth="1"/>
    <col min="3" max="3" width="49.28515625" bestFit="1" customWidth="1"/>
    <col min="4" max="12" width="5.7109375" style="7" customWidth="1"/>
    <col min="13" max="17" width="6.7109375" style="7" customWidth="1"/>
    <col min="18" max="23" width="5.7109375" style="7" customWidth="1"/>
    <col min="24" max="24" width="7.42578125" bestFit="1" customWidth="1"/>
    <col min="25" max="25" width="8.7109375" bestFit="1" customWidth="1"/>
    <col min="26" max="26" width="20.7109375" customWidth="1"/>
    <col min="28" max="28" width="20.7109375" customWidth="1"/>
    <col min="29" max="29" width="9.42578125" bestFit="1" customWidth="1"/>
    <col min="30" max="30" width="20.7109375" customWidth="1"/>
  </cols>
  <sheetData>
    <row r="1" spans="1:28" s="12" customFormat="1" ht="30" x14ac:dyDescent="0.25">
      <c r="A1" s="13" t="s">
        <v>175</v>
      </c>
      <c r="B1" s="14" t="s">
        <v>95</v>
      </c>
      <c r="C1" s="13" t="s">
        <v>53</v>
      </c>
      <c r="D1" s="19" t="s">
        <v>64</v>
      </c>
      <c r="E1" s="19" t="s">
        <v>65</v>
      </c>
      <c r="F1" s="19" t="s">
        <v>66</v>
      </c>
      <c r="G1" s="19" t="s">
        <v>67</v>
      </c>
      <c r="H1" s="19" t="s">
        <v>68</v>
      </c>
      <c r="I1" s="19" t="s">
        <v>69</v>
      </c>
      <c r="J1" s="19" t="s">
        <v>70</v>
      </c>
      <c r="K1" s="19" t="s">
        <v>71</v>
      </c>
      <c r="L1" s="19" t="s">
        <v>72</v>
      </c>
      <c r="M1" s="19" t="s">
        <v>73</v>
      </c>
      <c r="N1" s="19" t="s">
        <v>74</v>
      </c>
      <c r="O1" s="19" t="s">
        <v>75</v>
      </c>
      <c r="P1" s="19" t="s">
        <v>76</v>
      </c>
      <c r="Q1" s="19" t="s">
        <v>77</v>
      </c>
      <c r="R1" s="19" t="s">
        <v>82</v>
      </c>
      <c r="S1" s="19" t="s">
        <v>83</v>
      </c>
      <c r="T1" s="19" t="s">
        <v>84</v>
      </c>
      <c r="U1" s="19" t="s">
        <v>85</v>
      </c>
      <c r="V1" s="19" t="s">
        <v>86</v>
      </c>
      <c r="W1" s="19" t="s">
        <v>87</v>
      </c>
      <c r="X1" s="20" t="s">
        <v>91</v>
      </c>
      <c r="Y1" s="20" t="s">
        <v>92</v>
      </c>
      <c r="Z1" s="14" t="s">
        <v>90</v>
      </c>
      <c r="AA1" s="20" t="s">
        <v>93</v>
      </c>
      <c r="AB1" s="14" t="s">
        <v>94</v>
      </c>
    </row>
    <row r="2" spans="1:28" x14ac:dyDescent="0.25">
      <c r="A2" t="s">
        <v>222</v>
      </c>
      <c r="B2" s="7" t="s">
        <v>96</v>
      </c>
      <c r="C2" t="s">
        <v>97</v>
      </c>
      <c r="D2" s="17" t="s">
        <v>81</v>
      </c>
      <c r="E2" s="17" t="s">
        <v>81</v>
      </c>
      <c r="F2" s="17" t="s">
        <v>81</v>
      </c>
      <c r="G2" s="17" t="s">
        <v>81</v>
      </c>
      <c r="H2" s="17" t="s">
        <v>81</v>
      </c>
      <c r="I2" s="17" t="s">
        <v>81</v>
      </c>
      <c r="J2" s="17" t="s">
        <v>78</v>
      </c>
      <c r="K2" s="17" t="s">
        <v>81</v>
      </c>
      <c r="L2" s="17" t="s">
        <v>81</v>
      </c>
      <c r="M2" s="17" t="s">
        <v>81</v>
      </c>
      <c r="N2" s="17" t="s">
        <v>78</v>
      </c>
      <c r="O2" s="17" t="s">
        <v>78</v>
      </c>
      <c r="P2" s="17" t="s">
        <v>81</v>
      </c>
      <c r="Q2" s="17" t="s">
        <v>78</v>
      </c>
      <c r="R2" s="17" t="s">
        <v>78</v>
      </c>
      <c r="S2" s="17" t="s">
        <v>81</v>
      </c>
      <c r="T2" s="17" t="s">
        <v>81</v>
      </c>
      <c r="U2" s="17" t="s">
        <v>81</v>
      </c>
      <c r="V2" s="17" t="s">
        <v>81</v>
      </c>
      <c r="W2" s="17" t="s">
        <v>81</v>
      </c>
      <c r="X2">
        <f t="shared" ref="X2:X33" si="0">COUNTIF(D2:Q2,"0 F")</f>
        <v>4</v>
      </c>
      <c r="Y2">
        <f t="shared" ref="Y2:Y33" si="1">COUNTIF(R2:W2,"0 F")</f>
        <v>1</v>
      </c>
      <c r="Z2" s="7" t="s">
        <v>56</v>
      </c>
      <c r="AA2" s="7" t="str">
        <f t="shared" ref="AA2:AA33" si="2">IF(X2&gt;2,"No válido",IF(Y2&lt;3,"AA","A"))</f>
        <v>No válido</v>
      </c>
      <c r="AB2" s="7" t="str">
        <f t="shared" ref="AB2:AB33" si="3">IF(X2&gt;3,"No válido",IF(Y2&lt;4,"AA","A"))</f>
        <v>No válido</v>
      </c>
    </row>
    <row r="3" spans="1:28" x14ac:dyDescent="0.25">
      <c r="A3" t="s">
        <v>222</v>
      </c>
      <c r="B3" s="7" t="s">
        <v>98</v>
      </c>
      <c r="C3" t="s">
        <v>99</v>
      </c>
      <c r="D3" s="17" t="s">
        <v>81</v>
      </c>
      <c r="E3" s="17" t="s">
        <v>78</v>
      </c>
      <c r="F3" s="17" t="s">
        <v>81</v>
      </c>
      <c r="G3" s="17" t="s">
        <v>80</v>
      </c>
      <c r="H3" s="17" t="s">
        <v>81</v>
      </c>
      <c r="I3" s="17" t="s">
        <v>81</v>
      </c>
      <c r="J3" s="17" t="s">
        <v>78</v>
      </c>
      <c r="K3" s="17" t="s">
        <v>81</v>
      </c>
      <c r="L3" s="17" t="s">
        <v>81</v>
      </c>
      <c r="M3" s="17" t="s">
        <v>81</v>
      </c>
      <c r="N3" s="17" t="s">
        <v>81</v>
      </c>
      <c r="O3" s="17" t="s">
        <v>78</v>
      </c>
      <c r="P3" s="17" t="s">
        <v>81</v>
      </c>
      <c r="Q3" s="17" t="s">
        <v>81</v>
      </c>
      <c r="R3" s="17" t="s">
        <v>78</v>
      </c>
      <c r="S3" s="17" t="s">
        <v>81</v>
      </c>
      <c r="T3" s="17" t="s">
        <v>81</v>
      </c>
      <c r="U3" s="17" t="s">
        <v>81</v>
      </c>
      <c r="V3" s="17" t="s">
        <v>81</v>
      </c>
      <c r="W3" s="17" t="s">
        <v>81</v>
      </c>
      <c r="X3">
        <f t="shared" si="0"/>
        <v>3</v>
      </c>
      <c r="Y3">
        <f t="shared" si="1"/>
        <v>1</v>
      </c>
      <c r="Z3" s="7" t="s">
        <v>56</v>
      </c>
      <c r="AA3" s="7" t="str">
        <f t="shared" si="2"/>
        <v>No válido</v>
      </c>
      <c r="AB3" s="7" t="str">
        <f t="shared" si="3"/>
        <v>AA</v>
      </c>
    </row>
    <row r="4" spans="1:28" x14ac:dyDescent="0.25">
      <c r="A4" t="s">
        <v>222</v>
      </c>
      <c r="B4" s="7" t="s">
        <v>100</v>
      </c>
      <c r="C4" t="s">
        <v>25</v>
      </c>
      <c r="D4" s="17" t="s">
        <v>78</v>
      </c>
      <c r="E4" s="17" t="s">
        <v>81</v>
      </c>
      <c r="F4" s="17" t="s">
        <v>81</v>
      </c>
      <c r="G4" s="17" t="s">
        <v>81</v>
      </c>
      <c r="H4" s="17" t="s">
        <v>81</v>
      </c>
      <c r="I4" s="17" t="s">
        <v>81</v>
      </c>
      <c r="J4" s="17" t="s">
        <v>78</v>
      </c>
      <c r="K4" s="17" t="s">
        <v>81</v>
      </c>
      <c r="L4" s="17" t="s">
        <v>81</v>
      </c>
      <c r="M4" s="17" t="s">
        <v>81</v>
      </c>
      <c r="N4" s="17" t="s">
        <v>78</v>
      </c>
      <c r="O4" s="17" t="s">
        <v>78</v>
      </c>
      <c r="P4" s="17" t="s">
        <v>81</v>
      </c>
      <c r="Q4" s="17" t="s">
        <v>78</v>
      </c>
      <c r="R4" s="17" t="s">
        <v>78</v>
      </c>
      <c r="S4" s="17" t="s">
        <v>81</v>
      </c>
      <c r="T4" s="17" t="s">
        <v>81</v>
      </c>
      <c r="U4" s="17" t="s">
        <v>81</v>
      </c>
      <c r="V4" s="17" t="s">
        <v>81</v>
      </c>
      <c r="W4" s="17" t="s">
        <v>81</v>
      </c>
      <c r="X4">
        <f t="shared" si="0"/>
        <v>5</v>
      </c>
      <c r="Y4">
        <f t="shared" si="1"/>
        <v>1</v>
      </c>
      <c r="Z4" s="7" t="s">
        <v>56</v>
      </c>
      <c r="AA4" s="7" t="str">
        <f t="shared" si="2"/>
        <v>No válido</v>
      </c>
      <c r="AB4" s="7" t="str">
        <f t="shared" si="3"/>
        <v>No válido</v>
      </c>
    </row>
    <row r="5" spans="1:28" x14ac:dyDescent="0.25">
      <c r="A5" t="s">
        <v>222</v>
      </c>
      <c r="B5" s="7" t="s">
        <v>101</v>
      </c>
      <c r="C5" t="s">
        <v>102</v>
      </c>
      <c r="D5" s="17" t="s">
        <v>78</v>
      </c>
      <c r="E5" s="17" t="s">
        <v>78</v>
      </c>
      <c r="F5" s="17" t="s">
        <v>81</v>
      </c>
      <c r="G5" s="17" t="s">
        <v>80</v>
      </c>
      <c r="H5" s="17" t="s">
        <v>81</v>
      </c>
      <c r="I5" s="17" t="s">
        <v>81</v>
      </c>
      <c r="J5" s="17" t="s">
        <v>78</v>
      </c>
      <c r="K5" s="17" t="s">
        <v>81</v>
      </c>
      <c r="L5" s="17" t="s">
        <v>80</v>
      </c>
      <c r="M5" s="17" t="s">
        <v>80</v>
      </c>
      <c r="N5" s="17" t="s">
        <v>81</v>
      </c>
      <c r="O5" s="17" t="s">
        <v>78</v>
      </c>
      <c r="P5" s="17" t="s">
        <v>81</v>
      </c>
      <c r="Q5" s="17" t="s">
        <v>81</v>
      </c>
      <c r="R5" s="17" t="s">
        <v>78</v>
      </c>
      <c r="S5" s="17" t="s">
        <v>81</v>
      </c>
      <c r="T5" s="17" t="s">
        <v>81</v>
      </c>
      <c r="U5" s="17" t="s">
        <v>78</v>
      </c>
      <c r="V5" s="17" t="s">
        <v>81</v>
      </c>
      <c r="W5" s="17" t="s">
        <v>81</v>
      </c>
      <c r="X5">
        <f t="shared" si="0"/>
        <v>4</v>
      </c>
      <c r="Y5">
        <f t="shared" si="1"/>
        <v>2</v>
      </c>
      <c r="Z5" s="7" t="s">
        <v>56</v>
      </c>
      <c r="AA5" s="7" t="str">
        <f t="shared" si="2"/>
        <v>No válido</v>
      </c>
      <c r="AB5" s="7" t="str">
        <f t="shared" si="3"/>
        <v>No válido</v>
      </c>
    </row>
    <row r="6" spans="1:28" x14ac:dyDescent="0.25">
      <c r="A6" t="s">
        <v>222</v>
      </c>
      <c r="B6" s="7" t="s">
        <v>103</v>
      </c>
      <c r="C6" t="s">
        <v>104</v>
      </c>
      <c r="D6" s="17" t="s">
        <v>81</v>
      </c>
      <c r="E6" s="17" t="s">
        <v>81</v>
      </c>
      <c r="F6" s="17" t="s">
        <v>78</v>
      </c>
      <c r="G6" s="17" t="s">
        <v>80</v>
      </c>
      <c r="H6" s="17" t="s">
        <v>81</v>
      </c>
      <c r="I6" s="17" t="s">
        <v>78</v>
      </c>
      <c r="J6" s="17" t="s">
        <v>78</v>
      </c>
      <c r="K6" s="17" t="s">
        <v>81</v>
      </c>
      <c r="L6" s="17" t="s">
        <v>81</v>
      </c>
      <c r="M6" s="17" t="s">
        <v>81</v>
      </c>
      <c r="N6" s="17" t="s">
        <v>81</v>
      </c>
      <c r="O6" s="17" t="s">
        <v>78</v>
      </c>
      <c r="P6" s="17" t="s">
        <v>81</v>
      </c>
      <c r="Q6" s="17" t="s">
        <v>78</v>
      </c>
      <c r="R6" s="17" t="s">
        <v>78</v>
      </c>
      <c r="S6" s="17" t="s">
        <v>81</v>
      </c>
      <c r="T6" s="17" t="s">
        <v>81</v>
      </c>
      <c r="U6" s="17" t="s">
        <v>81</v>
      </c>
      <c r="V6" s="17" t="s">
        <v>78</v>
      </c>
      <c r="W6" s="17" t="s">
        <v>81</v>
      </c>
      <c r="X6">
        <f t="shared" si="0"/>
        <v>5</v>
      </c>
      <c r="Y6">
        <f t="shared" si="1"/>
        <v>2</v>
      </c>
      <c r="Z6" s="7" t="s">
        <v>56</v>
      </c>
      <c r="AA6" s="7" t="str">
        <f t="shared" si="2"/>
        <v>No válido</v>
      </c>
      <c r="AB6" s="7" t="str">
        <f t="shared" si="3"/>
        <v>No válido</v>
      </c>
    </row>
    <row r="7" spans="1:28" x14ac:dyDescent="0.25">
      <c r="A7" t="s">
        <v>222</v>
      </c>
      <c r="B7" s="7" t="s">
        <v>105</v>
      </c>
      <c r="C7" t="s">
        <v>106</v>
      </c>
      <c r="D7" s="17" t="s">
        <v>81</v>
      </c>
      <c r="E7" s="17" t="s">
        <v>81</v>
      </c>
      <c r="F7" s="17" t="s">
        <v>81</v>
      </c>
      <c r="G7" s="17" t="s">
        <v>80</v>
      </c>
      <c r="H7" s="17" t="s">
        <v>81</v>
      </c>
      <c r="I7" s="17" t="s">
        <v>81</v>
      </c>
      <c r="J7" s="17" t="s">
        <v>78</v>
      </c>
      <c r="K7" s="17" t="s">
        <v>81</v>
      </c>
      <c r="L7" s="17" t="s">
        <v>81</v>
      </c>
      <c r="M7" s="17" t="s">
        <v>81</v>
      </c>
      <c r="N7" s="17" t="s">
        <v>81</v>
      </c>
      <c r="O7" s="17" t="s">
        <v>81</v>
      </c>
      <c r="P7" s="17" t="s">
        <v>81</v>
      </c>
      <c r="Q7" s="17" t="s">
        <v>81</v>
      </c>
      <c r="R7" s="17" t="s">
        <v>78</v>
      </c>
      <c r="S7" s="17" t="s">
        <v>81</v>
      </c>
      <c r="T7" s="17" t="s">
        <v>81</v>
      </c>
      <c r="U7" s="17" t="s">
        <v>81</v>
      </c>
      <c r="V7" s="17" t="s">
        <v>81</v>
      </c>
      <c r="W7" s="17" t="s">
        <v>81</v>
      </c>
      <c r="X7">
        <f t="shared" si="0"/>
        <v>1</v>
      </c>
      <c r="Y7">
        <f t="shared" si="1"/>
        <v>1</v>
      </c>
      <c r="Z7" s="7" t="s">
        <v>55</v>
      </c>
      <c r="AA7" s="7" t="str">
        <f t="shared" si="2"/>
        <v>AA</v>
      </c>
      <c r="AB7" s="7" t="str">
        <f t="shared" si="3"/>
        <v>AA</v>
      </c>
    </row>
    <row r="8" spans="1:28" x14ac:dyDescent="0.25">
      <c r="A8" t="s">
        <v>222</v>
      </c>
      <c r="B8" s="7" t="s">
        <v>107</v>
      </c>
      <c r="C8" t="s">
        <v>108</v>
      </c>
      <c r="D8" s="17" t="s">
        <v>78</v>
      </c>
      <c r="E8" s="17" t="s">
        <v>81</v>
      </c>
      <c r="F8" s="17" t="s">
        <v>78</v>
      </c>
      <c r="G8" s="17" t="s">
        <v>78</v>
      </c>
      <c r="H8" s="17" t="s">
        <v>81</v>
      </c>
      <c r="I8" s="17" t="s">
        <v>81</v>
      </c>
      <c r="J8" s="17" t="s">
        <v>78</v>
      </c>
      <c r="K8" s="17" t="s">
        <v>81</v>
      </c>
      <c r="L8" s="17" t="s">
        <v>78</v>
      </c>
      <c r="M8" s="17" t="s">
        <v>81</v>
      </c>
      <c r="N8" s="17" t="s">
        <v>81</v>
      </c>
      <c r="O8" s="17" t="s">
        <v>78</v>
      </c>
      <c r="P8" s="17" t="s">
        <v>81</v>
      </c>
      <c r="Q8" s="17" t="s">
        <v>78</v>
      </c>
      <c r="R8" s="17" t="s">
        <v>78</v>
      </c>
      <c r="S8" s="17" t="s">
        <v>81</v>
      </c>
      <c r="T8" s="17" t="s">
        <v>81</v>
      </c>
      <c r="U8" s="17" t="s">
        <v>81</v>
      </c>
      <c r="V8" s="17" t="s">
        <v>78</v>
      </c>
      <c r="W8" s="17" t="s">
        <v>81</v>
      </c>
      <c r="X8">
        <f t="shared" si="0"/>
        <v>7</v>
      </c>
      <c r="Y8">
        <f t="shared" si="1"/>
        <v>2</v>
      </c>
      <c r="Z8" s="7" t="s">
        <v>56</v>
      </c>
      <c r="AA8" s="7" t="str">
        <f t="shared" si="2"/>
        <v>No válido</v>
      </c>
      <c r="AB8" s="7" t="str">
        <f t="shared" si="3"/>
        <v>No válido</v>
      </c>
    </row>
    <row r="9" spans="1:28" x14ac:dyDescent="0.25">
      <c r="A9" t="s">
        <v>222</v>
      </c>
      <c r="B9" s="7" t="s">
        <v>109</v>
      </c>
      <c r="C9" t="s">
        <v>110</v>
      </c>
      <c r="D9" s="17" t="s">
        <v>81</v>
      </c>
      <c r="E9" s="17" t="s">
        <v>81</v>
      </c>
      <c r="F9" s="17" t="s">
        <v>81</v>
      </c>
      <c r="G9" s="17" t="s">
        <v>80</v>
      </c>
      <c r="H9" s="17" t="s">
        <v>81</v>
      </c>
      <c r="I9" s="17" t="s">
        <v>81</v>
      </c>
      <c r="J9" s="17" t="s">
        <v>78</v>
      </c>
      <c r="K9" s="17" t="s">
        <v>81</v>
      </c>
      <c r="L9" s="17" t="s">
        <v>81</v>
      </c>
      <c r="M9" s="17" t="s">
        <v>81</v>
      </c>
      <c r="N9" s="17" t="s">
        <v>81</v>
      </c>
      <c r="O9" s="17" t="s">
        <v>81</v>
      </c>
      <c r="P9" s="17" t="s">
        <v>81</v>
      </c>
      <c r="Q9" s="17" t="s">
        <v>81</v>
      </c>
      <c r="R9" s="17" t="s">
        <v>78</v>
      </c>
      <c r="S9" s="17" t="s">
        <v>81</v>
      </c>
      <c r="T9" s="17" t="s">
        <v>81</v>
      </c>
      <c r="U9" s="17" t="s">
        <v>81</v>
      </c>
      <c r="V9" s="17" t="s">
        <v>81</v>
      </c>
      <c r="W9" s="17" t="s">
        <v>81</v>
      </c>
      <c r="X9">
        <f t="shared" si="0"/>
        <v>1</v>
      </c>
      <c r="Y9">
        <f t="shared" si="1"/>
        <v>1</v>
      </c>
      <c r="Z9" s="7" t="s">
        <v>55</v>
      </c>
      <c r="AA9" s="7" t="str">
        <f t="shared" si="2"/>
        <v>AA</v>
      </c>
      <c r="AB9" s="7" t="str">
        <f t="shared" si="3"/>
        <v>AA</v>
      </c>
    </row>
    <row r="10" spans="1:28" x14ac:dyDescent="0.25">
      <c r="A10" t="s">
        <v>222</v>
      </c>
      <c r="B10" s="7" t="s">
        <v>111</v>
      </c>
      <c r="C10" t="s">
        <v>112</v>
      </c>
      <c r="D10" s="17" t="s">
        <v>81</v>
      </c>
      <c r="E10" s="17" t="s">
        <v>81</v>
      </c>
      <c r="F10" s="17" t="s">
        <v>81</v>
      </c>
      <c r="G10" s="17" t="s">
        <v>80</v>
      </c>
      <c r="H10" s="17" t="s">
        <v>81</v>
      </c>
      <c r="I10" s="17" t="s">
        <v>78</v>
      </c>
      <c r="J10" s="17" t="s">
        <v>78</v>
      </c>
      <c r="K10" s="17" t="s">
        <v>81</v>
      </c>
      <c r="L10" s="17" t="s">
        <v>81</v>
      </c>
      <c r="M10" s="17" t="s">
        <v>81</v>
      </c>
      <c r="N10" s="17" t="s">
        <v>81</v>
      </c>
      <c r="O10" s="17" t="s">
        <v>81</v>
      </c>
      <c r="P10" s="17" t="s">
        <v>78</v>
      </c>
      <c r="Q10" s="17" t="s">
        <v>81</v>
      </c>
      <c r="R10" s="17" t="s">
        <v>78</v>
      </c>
      <c r="S10" s="17" t="s">
        <v>81</v>
      </c>
      <c r="T10" s="17" t="s">
        <v>81</v>
      </c>
      <c r="U10" s="17" t="s">
        <v>81</v>
      </c>
      <c r="V10" s="17" t="s">
        <v>78</v>
      </c>
      <c r="W10" s="17" t="s">
        <v>81</v>
      </c>
      <c r="X10">
        <f t="shared" si="0"/>
        <v>3</v>
      </c>
      <c r="Y10">
        <f t="shared" si="1"/>
        <v>2</v>
      </c>
      <c r="Z10" s="7" t="s">
        <v>56</v>
      </c>
      <c r="AA10" s="7" t="str">
        <f t="shared" si="2"/>
        <v>No válido</v>
      </c>
      <c r="AB10" s="7" t="str">
        <f t="shared" si="3"/>
        <v>AA</v>
      </c>
    </row>
    <row r="11" spans="1:28" x14ac:dyDescent="0.25">
      <c r="A11" t="s">
        <v>222</v>
      </c>
      <c r="B11" s="7" t="s">
        <v>113</v>
      </c>
      <c r="C11" t="s">
        <v>114</v>
      </c>
      <c r="D11" s="17" t="s">
        <v>78</v>
      </c>
      <c r="E11" s="17" t="s">
        <v>79</v>
      </c>
      <c r="F11" s="17" t="s">
        <v>81</v>
      </c>
      <c r="G11" s="17" t="s">
        <v>80</v>
      </c>
      <c r="H11" s="17" t="s">
        <v>78</v>
      </c>
      <c r="I11" s="17" t="s">
        <v>81</v>
      </c>
      <c r="J11" s="17" t="s">
        <v>78</v>
      </c>
      <c r="K11" s="17" t="s">
        <v>81</v>
      </c>
      <c r="L11" s="17" t="s">
        <v>80</v>
      </c>
      <c r="M11" s="17" t="s">
        <v>80</v>
      </c>
      <c r="N11" s="17" t="s">
        <v>81</v>
      </c>
      <c r="O11" s="17" t="s">
        <v>78</v>
      </c>
      <c r="P11" s="17" t="s">
        <v>81</v>
      </c>
      <c r="Q11" s="17" t="s">
        <v>81</v>
      </c>
      <c r="R11" s="17" t="s">
        <v>78</v>
      </c>
      <c r="S11" s="17" t="s">
        <v>81</v>
      </c>
      <c r="T11" s="17" t="s">
        <v>81</v>
      </c>
      <c r="U11" s="17" t="s">
        <v>81</v>
      </c>
      <c r="V11" s="17" t="s">
        <v>81</v>
      </c>
      <c r="W11" s="17" t="s">
        <v>81</v>
      </c>
      <c r="X11">
        <f t="shared" si="0"/>
        <v>4</v>
      </c>
      <c r="Y11">
        <f t="shared" si="1"/>
        <v>1</v>
      </c>
      <c r="Z11" s="7" t="s">
        <v>56</v>
      </c>
      <c r="AA11" s="7" t="str">
        <f t="shared" si="2"/>
        <v>No válido</v>
      </c>
      <c r="AB11" s="7" t="str">
        <f t="shared" si="3"/>
        <v>No válido</v>
      </c>
    </row>
    <row r="12" spans="1:28" x14ac:dyDescent="0.25">
      <c r="A12" t="s">
        <v>222</v>
      </c>
      <c r="B12" s="7" t="s">
        <v>115</v>
      </c>
      <c r="C12" t="s">
        <v>116</v>
      </c>
      <c r="D12" s="17" t="s">
        <v>81</v>
      </c>
      <c r="E12" s="17" t="s">
        <v>81</v>
      </c>
      <c r="F12" s="17" t="s">
        <v>81</v>
      </c>
      <c r="G12" s="17" t="s">
        <v>80</v>
      </c>
      <c r="H12" s="17" t="s">
        <v>81</v>
      </c>
      <c r="I12" s="17" t="s">
        <v>81</v>
      </c>
      <c r="J12" s="17" t="s">
        <v>78</v>
      </c>
      <c r="K12" s="17" t="s">
        <v>81</v>
      </c>
      <c r="L12" s="17" t="s">
        <v>80</v>
      </c>
      <c r="M12" s="17" t="s">
        <v>80</v>
      </c>
      <c r="N12" s="17" t="s">
        <v>81</v>
      </c>
      <c r="O12" s="17" t="s">
        <v>78</v>
      </c>
      <c r="P12" s="17" t="s">
        <v>81</v>
      </c>
      <c r="Q12" s="17" t="s">
        <v>81</v>
      </c>
      <c r="R12" s="17" t="s">
        <v>78</v>
      </c>
      <c r="S12" s="17" t="s">
        <v>78</v>
      </c>
      <c r="T12" s="17" t="s">
        <v>81</v>
      </c>
      <c r="U12" s="17" t="s">
        <v>78</v>
      </c>
      <c r="V12" s="17" t="s">
        <v>81</v>
      </c>
      <c r="W12" s="17" t="s">
        <v>81</v>
      </c>
      <c r="X12">
        <f t="shared" si="0"/>
        <v>2</v>
      </c>
      <c r="Y12">
        <f t="shared" si="1"/>
        <v>3</v>
      </c>
      <c r="Z12" s="7" t="s">
        <v>57</v>
      </c>
      <c r="AA12" s="7" t="str">
        <f t="shared" si="2"/>
        <v>A</v>
      </c>
      <c r="AB12" s="7" t="str">
        <f t="shared" si="3"/>
        <v>AA</v>
      </c>
    </row>
    <row r="13" spans="1:28" x14ac:dyDescent="0.25">
      <c r="A13" t="s">
        <v>222</v>
      </c>
      <c r="B13" s="7" t="s">
        <v>117</v>
      </c>
      <c r="C13" t="s">
        <v>118</v>
      </c>
      <c r="D13" s="17" t="s">
        <v>78</v>
      </c>
      <c r="E13" s="17" t="s">
        <v>78</v>
      </c>
      <c r="F13" s="17" t="s">
        <v>81</v>
      </c>
      <c r="G13" s="17" t="s">
        <v>80</v>
      </c>
      <c r="H13" s="17" t="s">
        <v>81</v>
      </c>
      <c r="I13" s="17" t="s">
        <v>78</v>
      </c>
      <c r="J13" s="17" t="s">
        <v>78</v>
      </c>
      <c r="K13" s="17" t="s">
        <v>81</v>
      </c>
      <c r="L13" s="17" t="s">
        <v>78</v>
      </c>
      <c r="M13" s="17" t="s">
        <v>78</v>
      </c>
      <c r="N13" s="17" t="s">
        <v>78</v>
      </c>
      <c r="O13" s="17" t="s">
        <v>78</v>
      </c>
      <c r="P13" s="17" t="s">
        <v>81</v>
      </c>
      <c r="Q13" s="17" t="s">
        <v>78</v>
      </c>
      <c r="R13" s="17" t="s">
        <v>78</v>
      </c>
      <c r="S13" s="17" t="s">
        <v>78</v>
      </c>
      <c r="T13" s="17" t="s">
        <v>81</v>
      </c>
      <c r="U13" s="17" t="s">
        <v>81</v>
      </c>
      <c r="V13" s="17" t="s">
        <v>78</v>
      </c>
      <c r="W13" s="17" t="s">
        <v>81</v>
      </c>
      <c r="X13">
        <f t="shared" si="0"/>
        <v>9</v>
      </c>
      <c r="Y13">
        <f t="shared" si="1"/>
        <v>3</v>
      </c>
      <c r="Z13" s="7" t="s">
        <v>56</v>
      </c>
      <c r="AA13" s="7" t="str">
        <f t="shared" si="2"/>
        <v>No válido</v>
      </c>
      <c r="AB13" s="7" t="str">
        <f t="shared" si="3"/>
        <v>No válido</v>
      </c>
    </row>
    <row r="14" spans="1:28" x14ac:dyDescent="0.25">
      <c r="A14" t="s">
        <v>222</v>
      </c>
      <c r="B14" s="7" t="s">
        <v>119</v>
      </c>
      <c r="C14" t="s">
        <v>120</v>
      </c>
      <c r="D14" s="17" t="s">
        <v>78</v>
      </c>
      <c r="E14" s="17" t="s">
        <v>81</v>
      </c>
      <c r="F14" s="17" t="s">
        <v>81</v>
      </c>
      <c r="G14" s="17" t="s">
        <v>80</v>
      </c>
      <c r="H14" s="17" t="s">
        <v>78</v>
      </c>
      <c r="I14" s="17" t="s">
        <v>81</v>
      </c>
      <c r="J14" s="17" t="s">
        <v>78</v>
      </c>
      <c r="K14" s="17" t="s">
        <v>78</v>
      </c>
      <c r="L14" s="17" t="s">
        <v>78</v>
      </c>
      <c r="M14" s="17" t="s">
        <v>81</v>
      </c>
      <c r="N14" s="17" t="s">
        <v>81</v>
      </c>
      <c r="O14" s="17" t="s">
        <v>78</v>
      </c>
      <c r="P14" s="17" t="s">
        <v>81</v>
      </c>
      <c r="Q14" s="17" t="s">
        <v>78</v>
      </c>
      <c r="R14" s="17" t="s">
        <v>78</v>
      </c>
      <c r="S14" s="17" t="s">
        <v>81</v>
      </c>
      <c r="T14" s="17" t="s">
        <v>81</v>
      </c>
      <c r="U14" s="17" t="s">
        <v>81</v>
      </c>
      <c r="V14" s="17" t="s">
        <v>81</v>
      </c>
      <c r="W14" s="17" t="s">
        <v>81</v>
      </c>
      <c r="X14">
        <f t="shared" si="0"/>
        <v>7</v>
      </c>
      <c r="Y14">
        <f t="shared" si="1"/>
        <v>1</v>
      </c>
      <c r="Z14" s="7" t="s">
        <v>56</v>
      </c>
      <c r="AA14" s="7" t="str">
        <f t="shared" si="2"/>
        <v>No válido</v>
      </c>
      <c r="AB14" s="7" t="str">
        <f t="shared" si="3"/>
        <v>No válido</v>
      </c>
    </row>
    <row r="15" spans="1:28" x14ac:dyDescent="0.25">
      <c r="A15" t="s">
        <v>222</v>
      </c>
      <c r="B15" s="7" t="s">
        <v>121</v>
      </c>
      <c r="C15" t="s">
        <v>122</v>
      </c>
      <c r="D15" s="17" t="s">
        <v>81</v>
      </c>
      <c r="E15" s="17" t="s">
        <v>81</v>
      </c>
      <c r="F15" s="17" t="s">
        <v>81</v>
      </c>
      <c r="G15" s="17" t="s">
        <v>80</v>
      </c>
      <c r="H15" s="17" t="s">
        <v>81</v>
      </c>
      <c r="I15" s="17" t="s">
        <v>81</v>
      </c>
      <c r="J15" s="17" t="s">
        <v>78</v>
      </c>
      <c r="K15" s="17" t="s">
        <v>81</v>
      </c>
      <c r="L15" s="17" t="s">
        <v>80</v>
      </c>
      <c r="M15" s="17" t="s">
        <v>80</v>
      </c>
      <c r="N15" s="17" t="s">
        <v>78</v>
      </c>
      <c r="O15" s="17" t="s">
        <v>81</v>
      </c>
      <c r="P15" s="17" t="s">
        <v>81</v>
      </c>
      <c r="Q15" s="17" t="s">
        <v>81</v>
      </c>
      <c r="R15" s="17" t="s">
        <v>78</v>
      </c>
      <c r="S15" s="17" t="s">
        <v>78</v>
      </c>
      <c r="T15" s="17" t="s">
        <v>81</v>
      </c>
      <c r="U15" s="17" t="s">
        <v>78</v>
      </c>
      <c r="V15" s="17" t="s">
        <v>81</v>
      </c>
      <c r="W15" s="17" t="s">
        <v>81</v>
      </c>
      <c r="X15">
        <f t="shared" si="0"/>
        <v>2</v>
      </c>
      <c r="Y15">
        <f t="shared" si="1"/>
        <v>3</v>
      </c>
      <c r="Z15" s="7" t="s">
        <v>57</v>
      </c>
      <c r="AA15" s="7" t="str">
        <f t="shared" si="2"/>
        <v>A</v>
      </c>
      <c r="AB15" s="7" t="str">
        <f t="shared" si="3"/>
        <v>AA</v>
      </c>
    </row>
    <row r="16" spans="1:28" x14ac:dyDescent="0.25">
      <c r="A16" t="s">
        <v>222</v>
      </c>
      <c r="B16" s="7" t="s">
        <v>123</v>
      </c>
      <c r="C16" t="s">
        <v>124</v>
      </c>
      <c r="D16" s="17" t="s">
        <v>81</v>
      </c>
      <c r="E16" s="17" t="s">
        <v>81</v>
      </c>
      <c r="F16" s="17" t="s">
        <v>81</v>
      </c>
      <c r="G16" s="17" t="s">
        <v>80</v>
      </c>
      <c r="H16" s="17" t="s">
        <v>81</v>
      </c>
      <c r="I16" s="17" t="s">
        <v>81</v>
      </c>
      <c r="J16" s="17" t="s">
        <v>78</v>
      </c>
      <c r="K16" s="17" t="s">
        <v>81</v>
      </c>
      <c r="L16" s="17" t="s">
        <v>81</v>
      </c>
      <c r="M16" s="17" t="s">
        <v>81</v>
      </c>
      <c r="N16" s="17" t="s">
        <v>81</v>
      </c>
      <c r="O16" s="17" t="s">
        <v>78</v>
      </c>
      <c r="P16" s="17" t="s">
        <v>81</v>
      </c>
      <c r="Q16" s="17" t="s">
        <v>81</v>
      </c>
      <c r="R16" s="17" t="s">
        <v>78</v>
      </c>
      <c r="S16" s="17" t="s">
        <v>81</v>
      </c>
      <c r="T16" s="17" t="s">
        <v>81</v>
      </c>
      <c r="U16" s="17" t="s">
        <v>81</v>
      </c>
      <c r="V16" s="17" t="s">
        <v>81</v>
      </c>
      <c r="W16" s="17" t="s">
        <v>81</v>
      </c>
      <c r="X16">
        <f t="shared" si="0"/>
        <v>2</v>
      </c>
      <c r="Y16">
        <f t="shared" si="1"/>
        <v>1</v>
      </c>
      <c r="Z16" s="7" t="s">
        <v>55</v>
      </c>
      <c r="AA16" s="7" t="str">
        <f t="shared" si="2"/>
        <v>AA</v>
      </c>
      <c r="AB16" s="7" t="str">
        <f t="shared" si="3"/>
        <v>AA</v>
      </c>
    </row>
    <row r="17" spans="1:28" x14ac:dyDescent="0.25">
      <c r="A17" t="s">
        <v>222</v>
      </c>
      <c r="B17" s="7" t="s">
        <v>125</v>
      </c>
      <c r="C17" t="s">
        <v>126</v>
      </c>
      <c r="D17" s="17" t="s">
        <v>81</v>
      </c>
      <c r="E17" s="17" t="s">
        <v>81</v>
      </c>
      <c r="F17" s="17" t="s">
        <v>81</v>
      </c>
      <c r="G17" s="17" t="s">
        <v>80</v>
      </c>
      <c r="H17" s="17" t="s">
        <v>81</v>
      </c>
      <c r="I17" s="17" t="s">
        <v>81</v>
      </c>
      <c r="J17" s="17" t="s">
        <v>78</v>
      </c>
      <c r="K17" s="17" t="s">
        <v>81</v>
      </c>
      <c r="L17" s="17" t="s">
        <v>81</v>
      </c>
      <c r="M17" s="17" t="s">
        <v>81</v>
      </c>
      <c r="N17" s="17" t="s">
        <v>81</v>
      </c>
      <c r="O17" s="17" t="s">
        <v>81</v>
      </c>
      <c r="P17" s="17" t="s">
        <v>81</v>
      </c>
      <c r="Q17" s="17" t="s">
        <v>81</v>
      </c>
      <c r="R17" s="17" t="s">
        <v>78</v>
      </c>
      <c r="S17" s="17" t="s">
        <v>81</v>
      </c>
      <c r="T17" s="17" t="s">
        <v>81</v>
      </c>
      <c r="U17" s="17" t="s">
        <v>81</v>
      </c>
      <c r="V17" s="17" t="s">
        <v>81</v>
      </c>
      <c r="W17" s="17" t="s">
        <v>81</v>
      </c>
      <c r="X17">
        <f t="shared" si="0"/>
        <v>1</v>
      </c>
      <c r="Y17">
        <f t="shared" si="1"/>
        <v>1</v>
      </c>
      <c r="Z17" s="7" t="s">
        <v>55</v>
      </c>
      <c r="AA17" s="7" t="str">
        <f t="shared" si="2"/>
        <v>AA</v>
      </c>
      <c r="AB17" s="7" t="str">
        <f t="shared" si="3"/>
        <v>AA</v>
      </c>
    </row>
    <row r="18" spans="1:28" x14ac:dyDescent="0.25">
      <c r="A18" t="s">
        <v>222</v>
      </c>
      <c r="B18" s="7" t="s">
        <v>127</v>
      </c>
      <c r="C18" t="s">
        <v>128</v>
      </c>
      <c r="D18" s="17" t="s">
        <v>78</v>
      </c>
      <c r="E18" s="17" t="s">
        <v>78</v>
      </c>
      <c r="F18" s="17" t="s">
        <v>81</v>
      </c>
      <c r="G18" s="17" t="s">
        <v>80</v>
      </c>
      <c r="H18" s="17" t="s">
        <v>81</v>
      </c>
      <c r="I18" s="17" t="s">
        <v>81</v>
      </c>
      <c r="J18" s="17" t="s">
        <v>78</v>
      </c>
      <c r="K18" s="17" t="s">
        <v>81</v>
      </c>
      <c r="L18" s="17" t="s">
        <v>81</v>
      </c>
      <c r="M18" s="17" t="s">
        <v>81</v>
      </c>
      <c r="N18" s="17" t="s">
        <v>81</v>
      </c>
      <c r="O18" s="17" t="s">
        <v>78</v>
      </c>
      <c r="P18" s="17" t="s">
        <v>81</v>
      </c>
      <c r="Q18" s="17" t="s">
        <v>81</v>
      </c>
      <c r="R18" s="17" t="s">
        <v>78</v>
      </c>
      <c r="S18" s="17" t="s">
        <v>81</v>
      </c>
      <c r="T18" s="17" t="s">
        <v>81</v>
      </c>
      <c r="U18" s="17" t="s">
        <v>81</v>
      </c>
      <c r="V18" s="17" t="s">
        <v>81</v>
      </c>
      <c r="W18" s="17" t="s">
        <v>81</v>
      </c>
      <c r="X18">
        <f t="shared" si="0"/>
        <v>4</v>
      </c>
      <c r="Y18">
        <f t="shared" si="1"/>
        <v>1</v>
      </c>
      <c r="Z18" s="7" t="s">
        <v>56</v>
      </c>
      <c r="AA18" s="7" t="str">
        <f t="shared" si="2"/>
        <v>No válido</v>
      </c>
      <c r="AB18" s="7" t="str">
        <f t="shared" si="3"/>
        <v>No válido</v>
      </c>
    </row>
    <row r="19" spans="1:28" x14ac:dyDescent="0.25">
      <c r="A19" t="s">
        <v>222</v>
      </c>
      <c r="B19" s="7" t="s">
        <v>129</v>
      </c>
      <c r="C19" t="s">
        <v>130</v>
      </c>
      <c r="D19" s="17" t="s">
        <v>78</v>
      </c>
      <c r="E19" s="17" t="s">
        <v>78</v>
      </c>
      <c r="F19" s="17" t="s">
        <v>78</v>
      </c>
      <c r="G19" s="17" t="s">
        <v>81</v>
      </c>
      <c r="H19" s="17" t="s">
        <v>81</v>
      </c>
      <c r="I19" s="17" t="s">
        <v>78</v>
      </c>
      <c r="J19" s="17" t="s">
        <v>78</v>
      </c>
      <c r="K19" s="17" t="s">
        <v>78</v>
      </c>
      <c r="L19" s="17" t="s">
        <v>78</v>
      </c>
      <c r="M19" s="17" t="s">
        <v>81</v>
      </c>
      <c r="N19" s="17" t="s">
        <v>81</v>
      </c>
      <c r="O19" s="17" t="s">
        <v>78</v>
      </c>
      <c r="P19" s="17" t="s">
        <v>81</v>
      </c>
      <c r="Q19" s="17" t="s">
        <v>78</v>
      </c>
      <c r="R19" s="17" t="s">
        <v>78</v>
      </c>
      <c r="S19" s="17" t="s">
        <v>81</v>
      </c>
      <c r="T19" s="17" t="s">
        <v>81</v>
      </c>
      <c r="U19" s="17" t="s">
        <v>81</v>
      </c>
      <c r="V19" s="17" t="s">
        <v>78</v>
      </c>
      <c r="W19" s="17" t="s">
        <v>81</v>
      </c>
      <c r="X19">
        <f t="shared" si="0"/>
        <v>9</v>
      </c>
      <c r="Y19">
        <f t="shared" si="1"/>
        <v>2</v>
      </c>
      <c r="Z19" s="7" t="s">
        <v>56</v>
      </c>
      <c r="AA19" s="7" t="str">
        <f t="shared" si="2"/>
        <v>No válido</v>
      </c>
      <c r="AB19" s="7" t="str">
        <f t="shared" si="3"/>
        <v>No válido</v>
      </c>
    </row>
    <row r="20" spans="1:28" x14ac:dyDescent="0.25">
      <c r="A20" t="s">
        <v>222</v>
      </c>
      <c r="B20" s="7" t="s">
        <v>131</v>
      </c>
      <c r="C20" t="s">
        <v>132</v>
      </c>
      <c r="D20" s="17" t="s">
        <v>81</v>
      </c>
      <c r="E20" s="17" t="s">
        <v>81</v>
      </c>
      <c r="F20" s="17" t="s">
        <v>81</v>
      </c>
      <c r="G20" s="17" t="s">
        <v>80</v>
      </c>
      <c r="H20" s="17" t="s">
        <v>81</v>
      </c>
      <c r="I20" s="17" t="s">
        <v>81</v>
      </c>
      <c r="J20" s="17" t="s">
        <v>78</v>
      </c>
      <c r="K20" s="17" t="s">
        <v>81</v>
      </c>
      <c r="L20" s="17" t="s">
        <v>81</v>
      </c>
      <c r="M20" s="17" t="s">
        <v>81</v>
      </c>
      <c r="N20" s="17" t="s">
        <v>81</v>
      </c>
      <c r="O20" s="17" t="s">
        <v>81</v>
      </c>
      <c r="P20" s="17" t="s">
        <v>81</v>
      </c>
      <c r="Q20" s="17" t="s">
        <v>78</v>
      </c>
      <c r="R20" s="17" t="s">
        <v>78</v>
      </c>
      <c r="S20" s="17" t="s">
        <v>78</v>
      </c>
      <c r="T20" s="17" t="s">
        <v>81</v>
      </c>
      <c r="U20" s="17" t="s">
        <v>81</v>
      </c>
      <c r="V20" s="17" t="s">
        <v>81</v>
      </c>
      <c r="W20" s="17" t="s">
        <v>81</v>
      </c>
      <c r="X20">
        <f t="shared" si="0"/>
        <v>2</v>
      </c>
      <c r="Y20">
        <f t="shared" si="1"/>
        <v>2</v>
      </c>
      <c r="Z20" s="7" t="s">
        <v>55</v>
      </c>
      <c r="AA20" s="7" t="str">
        <f t="shared" si="2"/>
        <v>AA</v>
      </c>
      <c r="AB20" s="7" t="str">
        <f t="shared" si="3"/>
        <v>AA</v>
      </c>
    </row>
    <row r="21" spans="1:28" x14ac:dyDescent="0.25">
      <c r="A21" t="s">
        <v>222</v>
      </c>
      <c r="B21" s="7" t="s">
        <v>133</v>
      </c>
      <c r="C21" t="s">
        <v>30</v>
      </c>
      <c r="D21" s="17" t="s">
        <v>78</v>
      </c>
      <c r="E21" s="17" t="s">
        <v>81</v>
      </c>
      <c r="F21" s="17" t="s">
        <v>81</v>
      </c>
      <c r="G21" s="17" t="s">
        <v>80</v>
      </c>
      <c r="H21" s="17" t="s">
        <v>81</v>
      </c>
      <c r="I21" s="17" t="s">
        <v>81</v>
      </c>
      <c r="J21" s="17" t="s">
        <v>78</v>
      </c>
      <c r="K21" s="17" t="s">
        <v>81</v>
      </c>
      <c r="L21" s="17" t="s">
        <v>81</v>
      </c>
      <c r="M21" s="17" t="s">
        <v>81</v>
      </c>
      <c r="N21" s="17" t="s">
        <v>81</v>
      </c>
      <c r="O21" s="17" t="s">
        <v>78</v>
      </c>
      <c r="P21" s="17" t="s">
        <v>81</v>
      </c>
      <c r="Q21" s="17" t="s">
        <v>81</v>
      </c>
      <c r="R21" s="17" t="s">
        <v>78</v>
      </c>
      <c r="S21" s="17" t="s">
        <v>81</v>
      </c>
      <c r="T21" s="17" t="s">
        <v>81</v>
      </c>
      <c r="U21" s="17" t="s">
        <v>81</v>
      </c>
      <c r="V21" s="17" t="s">
        <v>81</v>
      </c>
      <c r="W21" s="17" t="s">
        <v>81</v>
      </c>
      <c r="X21">
        <f t="shared" si="0"/>
        <v>3</v>
      </c>
      <c r="Y21">
        <f t="shared" si="1"/>
        <v>1</v>
      </c>
      <c r="Z21" s="7" t="s">
        <v>56</v>
      </c>
      <c r="AA21" s="7" t="str">
        <f t="shared" si="2"/>
        <v>No válido</v>
      </c>
      <c r="AB21" s="7" t="str">
        <f t="shared" si="3"/>
        <v>AA</v>
      </c>
    </row>
    <row r="22" spans="1:28" x14ac:dyDescent="0.25">
      <c r="A22" t="s">
        <v>222</v>
      </c>
      <c r="B22" s="7" t="s">
        <v>134</v>
      </c>
      <c r="C22" t="s">
        <v>31</v>
      </c>
      <c r="D22" s="17" t="s">
        <v>80</v>
      </c>
      <c r="E22" s="17" t="s">
        <v>81</v>
      </c>
      <c r="F22" s="17" t="s">
        <v>78</v>
      </c>
      <c r="G22" s="17" t="s">
        <v>80</v>
      </c>
      <c r="H22" s="17" t="s">
        <v>81</v>
      </c>
      <c r="I22" s="17" t="s">
        <v>81</v>
      </c>
      <c r="J22" s="17" t="s">
        <v>78</v>
      </c>
      <c r="K22" s="17" t="s">
        <v>81</v>
      </c>
      <c r="L22" s="17" t="s">
        <v>80</v>
      </c>
      <c r="M22" s="17" t="s">
        <v>80</v>
      </c>
      <c r="N22" s="17" t="s">
        <v>81</v>
      </c>
      <c r="O22" s="17" t="s">
        <v>81</v>
      </c>
      <c r="P22" s="17" t="s">
        <v>81</v>
      </c>
      <c r="Q22" s="17" t="s">
        <v>81</v>
      </c>
      <c r="R22" s="17" t="s">
        <v>78</v>
      </c>
      <c r="S22" s="17" t="s">
        <v>81</v>
      </c>
      <c r="T22" s="17" t="s">
        <v>81</v>
      </c>
      <c r="U22" s="17" t="s">
        <v>81</v>
      </c>
      <c r="V22" s="17" t="s">
        <v>81</v>
      </c>
      <c r="W22" s="17" t="s">
        <v>81</v>
      </c>
      <c r="X22">
        <f t="shared" si="0"/>
        <v>2</v>
      </c>
      <c r="Y22">
        <f t="shared" si="1"/>
        <v>1</v>
      </c>
      <c r="Z22" s="7" t="s">
        <v>55</v>
      </c>
      <c r="AA22" s="7" t="str">
        <f t="shared" si="2"/>
        <v>AA</v>
      </c>
      <c r="AB22" s="7" t="str">
        <f t="shared" si="3"/>
        <v>AA</v>
      </c>
    </row>
    <row r="23" spans="1:28" x14ac:dyDescent="0.25">
      <c r="A23" t="s">
        <v>222</v>
      </c>
      <c r="B23" s="7" t="s">
        <v>135</v>
      </c>
      <c r="C23" t="s">
        <v>136</v>
      </c>
      <c r="D23" s="17" t="s">
        <v>81</v>
      </c>
      <c r="E23" s="17" t="s">
        <v>78</v>
      </c>
      <c r="F23" s="17" t="s">
        <v>78</v>
      </c>
      <c r="G23" s="17" t="s">
        <v>80</v>
      </c>
      <c r="H23" s="17" t="s">
        <v>81</v>
      </c>
      <c r="I23" s="17" t="s">
        <v>81</v>
      </c>
      <c r="J23" s="17" t="s">
        <v>78</v>
      </c>
      <c r="K23" s="17" t="s">
        <v>81</v>
      </c>
      <c r="L23" s="17" t="s">
        <v>80</v>
      </c>
      <c r="M23" s="17" t="s">
        <v>80</v>
      </c>
      <c r="N23" s="17" t="s">
        <v>78</v>
      </c>
      <c r="O23" s="17" t="s">
        <v>78</v>
      </c>
      <c r="P23" s="17" t="s">
        <v>81</v>
      </c>
      <c r="Q23" s="17" t="s">
        <v>81</v>
      </c>
      <c r="R23" s="17" t="s">
        <v>78</v>
      </c>
      <c r="S23" s="17" t="s">
        <v>78</v>
      </c>
      <c r="T23" s="17" t="s">
        <v>81</v>
      </c>
      <c r="U23" s="17" t="s">
        <v>78</v>
      </c>
      <c r="V23" s="17" t="s">
        <v>81</v>
      </c>
      <c r="W23" s="17" t="s">
        <v>81</v>
      </c>
      <c r="X23">
        <f t="shared" si="0"/>
        <v>5</v>
      </c>
      <c r="Y23">
        <f t="shared" si="1"/>
        <v>3</v>
      </c>
      <c r="Z23" s="7" t="s">
        <v>56</v>
      </c>
      <c r="AA23" s="7" t="str">
        <f t="shared" si="2"/>
        <v>No válido</v>
      </c>
      <c r="AB23" s="7" t="str">
        <f t="shared" si="3"/>
        <v>No válido</v>
      </c>
    </row>
    <row r="24" spans="1:28" x14ac:dyDescent="0.25">
      <c r="A24" t="s">
        <v>222</v>
      </c>
      <c r="B24" s="7" t="s">
        <v>137</v>
      </c>
      <c r="C24" t="s">
        <v>138</v>
      </c>
      <c r="D24" s="17" t="s">
        <v>81</v>
      </c>
      <c r="E24" s="17" t="s">
        <v>81</v>
      </c>
      <c r="F24" s="17" t="s">
        <v>78</v>
      </c>
      <c r="G24" s="17" t="s">
        <v>80</v>
      </c>
      <c r="H24" s="17" t="s">
        <v>81</v>
      </c>
      <c r="I24" s="17" t="s">
        <v>78</v>
      </c>
      <c r="J24" s="17" t="s">
        <v>78</v>
      </c>
      <c r="K24" s="17" t="s">
        <v>81</v>
      </c>
      <c r="L24" s="17" t="s">
        <v>81</v>
      </c>
      <c r="M24" s="17" t="s">
        <v>81</v>
      </c>
      <c r="N24" s="17" t="s">
        <v>81</v>
      </c>
      <c r="O24" s="17" t="s">
        <v>81</v>
      </c>
      <c r="P24" s="17" t="s">
        <v>81</v>
      </c>
      <c r="Q24" s="17" t="s">
        <v>78</v>
      </c>
      <c r="R24" s="17" t="s">
        <v>78</v>
      </c>
      <c r="S24" s="17" t="s">
        <v>81</v>
      </c>
      <c r="T24" s="17" t="s">
        <v>81</v>
      </c>
      <c r="U24" s="17" t="s">
        <v>81</v>
      </c>
      <c r="V24" s="17" t="s">
        <v>78</v>
      </c>
      <c r="W24" s="17" t="s">
        <v>81</v>
      </c>
      <c r="X24">
        <f t="shared" si="0"/>
        <v>4</v>
      </c>
      <c r="Y24">
        <f t="shared" si="1"/>
        <v>2</v>
      </c>
      <c r="Z24" s="7" t="s">
        <v>56</v>
      </c>
      <c r="AA24" s="7" t="str">
        <f t="shared" si="2"/>
        <v>No válido</v>
      </c>
      <c r="AB24" s="7" t="str">
        <f t="shared" si="3"/>
        <v>No válido</v>
      </c>
    </row>
    <row r="25" spans="1:28" x14ac:dyDescent="0.25">
      <c r="A25" t="s">
        <v>222</v>
      </c>
      <c r="B25" s="7" t="s">
        <v>139</v>
      </c>
      <c r="C25" t="s">
        <v>32</v>
      </c>
      <c r="D25" s="17" t="s">
        <v>81</v>
      </c>
      <c r="E25" s="17" t="s">
        <v>78</v>
      </c>
      <c r="F25" s="17" t="s">
        <v>81</v>
      </c>
      <c r="G25" s="17" t="s">
        <v>80</v>
      </c>
      <c r="H25" s="17" t="s">
        <v>81</v>
      </c>
      <c r="I25" s="17" t="s">
        <v>81</v>
      </c>
      <c r="J25" s="17" t="s">
        <v>78</v>
      </c>
      <c r="K25" s="17" t="s">
        <v>81</v>
      </c>
      <c r="L25" s="17" t="s">
        <v>81</v>
      </c>
      <c r="M25" s="17" t="s">
        <v>81</v>
      </c>
      <c r="N25" s="17" t="s">
        <v>81</v>
      </c>
      <c r="O25" s="17" t="s">
        <v>78</v>
      </c>
      <c r="P25" s="17" t="s">
        <v>81</v>
      </c>
      <c r="Q25" s="17" t="s">
        <v>81</v>
      </c>
      <c r="R25" s="17" t="s">
        <v>78</v>
      </c>
      <c r="S25" s="17" t="s">
        <v>81</v>
      </c>
      <c r="T25" s="17" t="s">
        <v>81</v>
      </c>
      <c r="U25" s="17" t="s">
        <v>81</v>
      </c>
      <c r="V25" s="17" t="s">
        <v>81</v>
      </c>
      <c r="W25" s="17" t="s">
        <v>81</v>
      </c>
      <c r="X25">
        <f t="shared" si="0"/>
        <v>3</v>
      </c>
      <c r="Y25">
        <f t="shared" si="1"/>
        <v>1</v>
      </c>
      <c r="Z25" s="7" t="s">
        <v>56</v>
      </c>
      <c r="AA25" s="7" t="str">
        <f t="shared" si="2"/>
        <v>No válido</v>
      </c>
      <c r="AB25" s="7" t="str">
        <f t="shared" si="3"/>
        <v>AA</v>
      </c>
    </row>
    <row r="26" spans="1:28" x14ac:dyDescent="0.25">
      <c r="A26" t="s">
        <v>222</v>
      </c>
      <c r="B26" s="7" t="s">
        <v>140</v>
      </c>
      <c r="C26" t="s">
        <v>141</v>
      </c>
      <c r="D26" s="17" t="s">
        <v>78</v>
      </c>
      <c r="E26" s="17" t="s">
        <v>78</v>
      </c>
      <c r="F26" s="17" t="s">
        <v>81</v>
      </c>
      <c r="G26" s="17" t="s">
        <v>80</v>
      </c>
      <c r="H26" s="17" t="s">
        <v>78</v>
      </c>
      <c r="I26" s="17" t="s">
        <v>78</v>
      </c>
      <c r="J26" s="17" t="s">
        <v>78</v>
      </c>
      <c r="K26" s="17" t="s">
        <v>81</v>
      </c>
      <c r="L26" s="17" t="s">
        <v>78</v>
      </c>
      <c r="M26" s="17" t="s">
        <v>78</v>
      </c>
      <c r="N26" s="17" t="s">
        <v>78</v>
      </c>
      <c r="O26" s="17" t="s">
        <v>81</v>
      </c>
      <c r="P26" s="17" t="s">
        <v>81</v>
      </c>
      <c r="Q26" s="7" t="s">
        <v>78</v>
      </c>
      <c r="R26" s="17" t="s">
        <v>78</v>
      </c>
      <c r="S26" s="17" t="s">
        <v>81</v>
      </c>
      <c r="T26" s="17" t="s">
        <v>81</v>
      </c>
      <c r="U26" s="17" t="s">
        <v>81</v>
      </c>
      <c r="V26" s="17" t="s">
        <v>81</v>
      </c>
      <c r="W26" s="17" t="s">
        <v>81</v>
      </c>
      <c r="X26">
        <f t="shared" si="0"/>
        <v>9</v>
      </c>
      <c r="Y26">
        <f t="shared" si="1"/>
        <v>1</v>
      </c>
      <c r="Z26" s="7" t="s">
        <v>56</v>
      </c>
      <c r="AA26" s="7" t="str">
        <f t="shared" si="2"/>
        <v>No válido</v>
      </c>
      <c r="AB26" s="7" t="str">
        <f t="shared" si="3"/>
        <v>No válido</v>
      </c>
    </row>
    <row r="27" spans="1:28" x14ac:dyDescent="0.25">
      <c r="A27" t="s">
        <v>222</v>
      </c>
      <c r="B27" s="7" t="s">
        <v>142</v>
      </c>
      <c r="C27" t="s">
        <v>33</v>
      </c>
      <c r="D27" s="17" t="s">
        <v>81</v>
      </c>
      <c r="E27" s="17" t="s">
        <v>81</v>
      </c>
      <c r="F27" s="17" t="s">
        <v>81</v>
      </c>
      <c r="G27" s="17" t="s">
        <v>80</v>
      </c>
      <c r="H27" s="17" t="s">
        <v>81</v>
      </c>
      <c r="I27" s="17" t="s">
        <v>81</v>
      </c>
      <c r="J27" s="17" t="s">
        <v>78</v>
      </c>
      <c r="K27" s="17" t="s">
        <v>81</v>
      </c>
      <c r="L27" s="17" t="s">
        <v>81</v>
      </c>
      <c r="M27" s="17" t="s">
        <v>81</v>
      </c>
      <c r="N27" s="17" t="s">
        <v>81</v>
      </c>
      <c r="O27" s="17" t="s">
        <v>81</v>
      </c>
      <c r="P27" s="17" t="s">
        <v>81</v>
      </c>
      <c r="Q27" s="17" t="s">
        <v>81</v>
      </c>
      <c r="R27" s="17" t="s">
        <v>78</v>
      </c>
      <c r="S27" s="17" t="s">
        <v>81</v>
      </c>
      <c r="T27" s="17" t="s">
        <v>81</v>
      </c>
      <c r="U27" s="17" t="s">
        <v>81</v>
      </c>
      <c r="V27" s="17" t="s">
        <v>78</v>
      </c>
      <c r="W27" s="17" t="s">
        <v>81</v>
      </c>
      <c r="X27">
        <f t="shared" si="0"/>
        <v>1</v>
      </c>
      <c r="Y27">
        <f t="shared" si="1"/>
        <v>2</v>
      </c>
      <c r="Z27" s="7" t="s">
        <v>55</v>
      </c>
      <c r="AA27" s="7" t="str">
        <f t="shared" si="2"/>
        <v>AA</v>
      </c>
      <c r="AB27" s="7" t="str">
        <f t="shared" si="3"/>
        <v>AA</v>
      </c>
    </row>
    <row r="28" spans="1:28" x14ac:dyDescent="0.25">
      <c r="A28" t="s">
        <v>222</v>
      </c>
      <c r="B28" s="7" t="s">
        <v>143</v>
      </c>
      <c r="C28" t="s">
        <v>144</v>
      </c>
      <c r="D28" s="17" t="s">
        <v>78</v>
      </c>
      <c r="E28" s="17" t="s">
        <v>78</v>
      </c>
      <c r="F28" s="17" t="s">
        <v>81</v>
      </c>
      <c r="G28" s="17" t="s">
        <v>80</v>
      </c>
      <c r="H28" s="17" t="s">
        <v>78</v>
      </c>
      <c r="I28" s="17" t="s">
        <v>81</v>
      </c>
      <c r="J28" s="17" t="s">
        <v>78</v>
      </c>
      <c r="K28" s="17" t="s">
        <v>81</v>
      </c>
      <c r="L28" s="17" t="s">
        <v>78</v>
      </c>
      <c r="M28" s="17" t="s">
        <v>81</v>
      </c>
      <c r="N28" s="17" t="s">
        <v>81</v>
      </c>
      <c r="O28" s="17" t="s">
        <v>78</v>
      </c>
      <c r="P28" s="17" t="s">
        <v>81</v>
      </c>
      <c r="Q28" s="17" t="s">
        <v>81</v>
      </c>
      <c r="R28" s="17" t="s">
        <v>78</v>
      </c>
      <c r="S28" s="17" t="s">
        <v>78</v>
      </c>
      <c r="T28" s="17" t="s">
        <v>81</v>
      </c>
      <c r="U28" s="17" t="s">
        <v>78</v>
      </c>
      <c r="V28" s="17" t="s">
        <v>78</v>
      </c>
      <c r="W28" s="17" t="s">
        <v>81</v>
      </c>
      <c r="X28">
        <f t="shared" si="0"/>
        <v>6</v>
      </c>
      <c r="Y28">
        <f t="shared" si="1"/>
        <v>4</v>
      </c>
      <c r="Z28" s="7" t="s">
        <v>56</v>
      </c>
      <c r="AA28" s="7" t="str">
        <f t="shared" si="2"/>
        <v>No válido</v>
      </c>
      <c r="AB28" s="7" t="str">
        <f t="shared" si="3"/>
        <v>No válido</v>
      </c>
    </row>
    <row r="29" spans="1:28" x14ac:dyDescent="0.25">
      <c r="A29" t="s">
        <v>222</v>
      </c>
      <c r="B29" s="7" t="s">
        <v>145</v>
      </c>
      <c r="C29" t="s">
        <v>146</v>
      </c>
      <c r="D29" s="17" t="s">
        <v>78</v>
      </c>
      <c r="E29" s="17" t="s">
        <v>79</v>
      </c>
      <c r="F29" s="17" t="s">
        <v>81</v>
      </c>
      <c r="G29" s="17" t="s">
        <v>80</v>
      </c>
      <c r="H29" s="17" t="s">
        <v>78</v>
      </c>
      <c r="I29" s="17" t="s">
        <v>78</v>
      </c>
      <c r="J29" s="17" t="s">
        <v>78</v>
      </c>
      <c r="K29" s="17" t="s">
        <v>81</v>
      </c>
      <c r="L29" s="17" t="s">
        <v>81</v>
      </c>
      <c r="M29" s="17" t="s">
        <v>81</v>
      </c>
      <c r="N29" s="17" t="s">
        <v>78</v>
      </c>
      <c r="O29" s="17" t="s">
        <v>78</v>
      </c>
      <c r="P29" s="17" t="s">
        <v>81</v>
      </c>
      <c r="Q29" s="17" t="s">
        <v>78</v>
      </c>
      <c r="R29" s="17" t="s">
        <v>78</v>
      </c>
      <c r="S29" s="17" t="s">
        <v>81</v>
      </c>
      <c r="T29" s="17" t="s">
        <v>81</v>
      </c>
      <c r="U29" s="17" t="s">
        <v>81</v>
      </c>
      <c r="V29" s="17" t="s">
        <v>78</v>
      </c>
      <c r="W29" s="17" t="s">
        <v>81</v>
      </c>
      <c r="X29">
        <f t="shared" si="0"/>
        <v>7</v>
      </c>
      <c r="Y29">
        <f t="shared" si="1"/>
        <v>2</v>
      </c>
      <c r="Z29" s="7" t="s">
        <v>56</v>
      </c>
      <c r="AA29" s="7" t="str">
        <f t="shared" si="2"/>
        <v>No válido</v>
      </c>
      <c r="AB29" s="7" t="str">
        <f t="shared" si="3"/>
        <v>No válido</v>
      </c>
    </row>
    <row r="30" spans="1:28" x14ac:dyDescent="0.25">
      <c r="A30" t="s">
        <v>222</v>
      </c>
      <c r="B30" s="7" t="s">
        <v>147</v>
      </c>
      <c r="C30" t="s">
        <v>148</v>
      </c>
      <c r="D30" s="17" t="s">
        <v>81</v>
      </c>
      <c r="E30" s="17" t="s">
        <v>81</v>
      </c>
      <c r="F30" s="17" t="s">
        <v>81</v>
      </c>
      <c r="G30" s="17" t="s">
        <v>80</v>
      </c>
      <c r="H30" s="17" t="s">
        <v>81</v>
      </c>
      <c r="I30" s="17" t="s">
        <v>81</v>
      </c>
      <c r="J30" s="17" t="s">
        <v>78</v>
      </c>
      <c r="K30" s="17" t="s">
        <v>81</v>
      </c>
      <c r="L30" s="17" t="s">
        <v>81</v>
      </c>
      <c r="M30" s="17" t="s">
        <v>81</v>
      </c>
      <c r="N30" s="17" t="s">
        <v>81</v>
      </c>
      <c r="O30" s="17" t="s">
        <v>78</v>
      </c>
      <c r="P30" s="17" t="s">
        <v>81</v>
      </c>
      <c r="Q30" s="17" t="s">
        <v>81</v>
      </c>
      <c r="R30" s="17" t="s">
        <v>78</v>
      </c>
      <c r="S30" s="17" t="s">
        <v>81</v>
      </c>
      <c r="T30" s="17" t="s">
        <v>81</v>
      </c>
      <c r="U30" s="17" t="s">
        <v>81</v>
      </c>
      <c r="V30" s="17" t="s">
        <v>81</v>
      </c>
      <c r="W30" s="17" t="s">
        <v>81</v>
      </c>
      <c r="X30">
        <f t="shared" si="0"/>
        <v>2</v>
      </c>
      <c r="Y30">
        <f t="shared" si="1"/>
        <v>1</v>
      </c>
      <c r="Z30" s="7" t="s">
        <v>55</v>
      </c>
      <c r="AA30" s="7" t="str">
        <f t="shared" si="2"/>
        <v>AA</v>
      </c>
      <c r="AB30" s="7" t="str">
        <f t="shared" si="3"/>
        <v>AA</v>
      </c>
    </row>
    <row r="31" spans="1:28" x14ac:dyDescent="0.25">
      <c r="A31" t="s">
        <v>222</v>
      </c>
      <c r="B31" s="7" t="s">
        <v>149</v>
      </c>
      <c r="C31" t="s">
        <v>150</v>
      </c>
      <c r="D31" s="17" t="s">
        <v>81</v>
      </c>
      <c r="E31" s="17" t="s">
        <v>81</v>
      </c>
      <c r="F31" s="17" t="s">
        <v>81</v>
      </c>
      <c r="G31" s="17" t="s">
        <v>80</v>
      </c>
      <c r="H31" s="17" t="s">
        <v>81</v>
      </c>
      <c r="I31" s="17" t="s">
        <v>81</v>
      </c>
      <c r="J31" s="17" t="s">
        <v>78</v>
      </c>
      <c r="K31" s="17" t="s">
        <v>81</v>
      </c>
      <c r="L31" s="17" t="s">
        <v>81</v>
      </c>
      <c r="M31" s="17" t="s">
        <v>81</v>
      </c>
      <c r="N31" s="17" t="s">
        <v>81</v>
      </c>
      <c r="O31" s="17" t="s">
        <v>81</v>
      </c>
      <c r="P31" s="17" t="s">
        <v>81</v>
      </c>
      <c r="Q31" s="17" t="s">
        <v>81</v>
      </c>
      <c r="R31" s="17" t="s">
        <v>78</v>
      </c>
      <c r="S31" s="17" t="s">
        <v>81</v>
      </c>
      <c r="T31" s="17" t="s">
        <v>81</v>
      </c>
      <c r="U31" s="17" t="s">
        <v>81</v>
      </c>
      <c r="V31" s="17" t="s">
        <v>81</v>
      </c>
      <c r="W31" s="17" t="s">
        <v>78</v>
      </c>
      <c r="X31">
        <f t="shared" si="0"/>
        <v>1</v>
      </c>
      <c r="Y31">
        <f t="shared" si="1"/>
        <v>2</v>
      </c>
      <c r="Z31" s="7" t="s">
        <v>55</v>
      </c>
      <c r="AA31" s="7" t="str">
        <f t="shared" si="2"/>
        <v>AA</v>
      </c>
      <c r="AB31" s="7" t="str">
        <f t="shared" si="3"/>
        <v>AA</v>
      </c>
    </row>
    <row r="32" spans="1:28" x14ac:dyDescent="0.25">
      <c r="A32" t="s">
        <v>222</v>
      </c>
      <c r="B32" s="7" t="s">
        <v>151</v>
      </c>
      <c r="C32" t="s">
        <v>152</v>
      </c>
      <c r="D32" s="17" t="s">
        <v>81</v>
      </c>
      <c r="E32" s="17" t="s">
        <v>78</v>
      </c>
      <c r="F32" s="17" t="s">
        <v>81</v>
      </c>
      <c r="G32" s="17" t="s">
        <v>80</v>
      </c>
      <c r="H32" s="17" t="s">
        <v>81</v>
      </c>
      <c r="I32" s="17" t="s">
        <v>78</v>
      </c>
      <c r="J32" s="17" t="s">
        <v>78</v>
      </c>
      <c r="K32" s="17" t="s">
        <v>81</v>
      </c>
      <c r="L32" s="17" t="s">
        <v>81</v>
      </c>
      <c r="M32" s="17" t="s">
        <v>81</v>
      </c>
      <c r="N32" s="17" t="s">
        <v>78</v>
      </c>
      <c r="O32" s="17" t="s">
        <v>78</v>
      </c>
      <c r="P32" s="17" t="s">
        <v>81</v>
      </c>
      <c r="Q32" s="17" t="s">
        <v>78</v>
      </c>
      <c r="R32" s="17" t="s">
        <v>78</v>
      </c>
      <c r="S32" s="17" t="s">
        <v>81</v>
      </c>
      <c r="T32" s="17" t="s">
        <v>81</v>
      </c>
      <c r="U32" s="17" t="s">
        <v>81</v>
      </c>
      <c r="V32" s="17" t="s">
        <v>78</v>
      </c>
      <c r="W32" s="17" t="s">
        <v>78</v>
      </c>
      <c r="X32">
        <f t="shared" si="0"/>
        <v>6</v>
      </c>
      <c r="Y32">
        <f t="shared" si="1"/>
        <v>3</v>
      </c>
      <c r="Z32" s="7" t="s">
        <v>56</v>
      </c>
      <c r="AA32" s="7" t="str">
        <f t="shared" si="2"/>
        <v>No válido</v>
      </c>
      <c r="AB32" s="7" t="str">
        <f t="shared" si="3"/>
        <v>No válido</v>
      </c>
    </row>
    <row r="33" spans="1:28" x14ac:dyDescent="0.25">
      <c r="A33" t="s">
        <v>222</v>
      </c>
      <c r="B33" s="7" t="s">
        <v>153</v>
      </c>
      <c r="C33" t="s">
        <v>154</v>
      </c>
      <c r="D33" s="17" t="s">
        <v>78</v>
      </c>
      <c r="E33" s="17" t="s">
        <v>81</v>
      </c>
      <c r="F33" s="17" t="s">
        <v>78</v>
      </c>
      <c r="G33" s="17" t="s">
        <v>80</v>
      </c>
      <c r="H33" s="17" t="s">
        <v>81</v>
      </c>
      <c r="I33" s="17" t="s">
        <v>81</v>
      </c>
      <c r="J33" s="17" t="s">
        <v>78</v>
      </c>
      <c r="K33" s="17" t="s">
        <v>81</v>
      </c>
      <c r="L33" s="17" t="s">
        <v>78</v>
      </c>
      <c r="M33" s="17" t="s">
        <v>81</v>
      </c>
      <c r="N33" s="17" t="s">
        <v>78</v>
      </c>
      <c r="O33" s="17" t="s">
        <v>78</v>
      </c>
      <c r="P33" s="17" t="s">
        <v>81</v>
      </c>
      <c r="Q33" s="17" t="s">
        <v>78</v>
      </c>
      <c r="R33" s="17" t="s">
        <v>78</v>
      </c>
      <c r="S33" s="17" t="s">
        <v>81</v>
      </c>
      <c r="T33" s="17" t="s">
        <v>81</v>
      </c>
      <c r="U33" s="17" t="s">
        <v>78</v>
      </c>
      <c r="V33" s="17" t="s">
        <v>81</v>
      </c>
      <c r="W33" s="17" t="s">
        <v>78</v>
      </c>
      <c r="X33">
        <f t="shared" si="0"/>
        <v>7</v>
      </c>
      <c r="Y33">
        <f t="shared" si="1"/>
        <v>3</v>
      </c>
      <c r="Z33" s="7" t="s">
        <v>56</v>
      </c>
      <c r="AA33" s="7" t="str">
        <f t="shared" si="2"/>
        <v>No válido</v>
      </c>
      <c r="AB33" s="7" t="str">
        <f t="shared" si="3"/>
        <v>No válido</v>
      </c>
    </row>
    <row r="34" spans="1:28" x14ac:dyDescent="0.25">
      <c r="A34" t="s">
        <v>222</v>
      </c>
      <c r="B34" s="7" t="s">
        <v>155</v>
      </c>
      <c r="C34" s="10" t="s">
        <v>156</v>
      </c>
      <c r="D34" s="17" t="s">
        <v>81</v>
      </c>
      <c r="E34" s="17" t="s">
        <v>81</v>
      </c>
      <c r="F34" s="17" t="s">
        <v>81</v>
      </c>
      <c r="G34" s="17" t="s">
        <v>80</v>
      </c>
      <c r="H34" s="17" t="s">
        <v>81</v>
      </c>
      <c r="I34" s="17" t="s">
        <v>81</v>
      </c>
      <c r="J34" s="17" t="s">
        <v>78</v>
      </c>
      <c r="K34" s="17" t="s">
        <v>81</v>
      </c>
      <c r="L34" s="17" t="s">
        <v>81</v>
      </c>
      <c r="M34" s="17" t="s">
        <v>81</v>
      </c>
      <c r="N34" s="17" t="s">
        <v>81</v>
      </c>
      <c r="O34" s="17" t="s">
        <v>81</v>
      </c>
      <c r="P34" s="17" t="s">
        <v>81</v>
      </c>
      <c r="Q34" s="17" t="s">
        <v>81</v>
      </c>
      <c r="R34" s="17" t="s">
        <v>78</v>
      </c>
      <c r="S34" s="17" t="s">
        <v>81</v>
      </c>
      <c r="T34" s="17" t="s">
        <v>81</v>
      </c>
      <c r="U34" s="17" t="s">
        <v>81</v>
      </c>
      <c r="V34" s="17" t="s">
        <v>81</v>
      </c>
      <c r="W34" s="17" t="s">
        <v>81</v>
      </c>
      <c r="X34">
        <f t="shared" ref="X34:X63" si="4">COUNTIF(D34:Q34,"0 F")</f>
        <v>1</v>
      </c>
      <c r="Y34">
        <f t="shared" ref="Y34:Y63" si="5">COUNTIF(R34:W34,"0 F")</f>
        <v>1</v>
      </c>
      <c r="Z34" s="7" t="s">
        <v>55</v>
      </c>
      <c r="AA34" s="7" t="str">
        <f t="shared" ref="AA34:AA65" si="6">IF(X34&gt;2,"No válido",IF(Y34&lt;3,"AA","A"))</f>
        <v>AA</v>
      </c>
      <c r="AB34" s="7" t="str">
        <f t="shared" ref="AB34:AB65" si="7">IF(X34&gt;3,"No válido",IF(Y34&lt;4,"AA","A"))</f>
        <v>AA</v>
      </c>
    </row>
    <row r="35" spans="1:28" x14ac:dyDescent="0.25">
      <c r="A35" t="s">
        <v>223</v>
      </c>
      <c r="B35" s="7" t="s">
        <v>96</v>
      </c>
      <c r="C35" t="s">
        <v>176</v>
      </c>
      <c r="D35" s="17" t="s">
        <v>78</v>
      </c>
      <c r="E35" s="17" t="s">
        <v>78</v>
      </c>
      <c r="F35" s="17" t="s">
        <v>81</v>
      </c>
      <c r="G35" s="17" t="s">
        <v>80</v>
      </c>
      <c r="H35" s="17" t="s">
        <v>81</v>
      </c>
      <c r="I35" s="17" t="s">
        <v>78</v>
      </c>
      <c r="J35" s="17" t="s">
        <v>78</v>
      </c>
      <c r="K35" s="17" t="s">
        <v>81</v>
      </c>
      <c r="L35" s="17" t="s">
        <v>80</v>
      </c>
      <c r="M35" s="17" t="s">
        <v>80</v>
      </c>
      <c r="N35" s="17" t="s">
        <v>81</v>
      </c>
      <c r="O35" s="17" t="s">
        <v>81</v>
      </c>
      <c r="P35" s="17" t="s">
        <v>81</v>
      </c>
      <c r="Q35" s="17" t="s">
        <v>78</v>
      </c>
      <c r="R35" s="17" t="s">
        <v>78</v>
      </c>
      <c r="S35" s="17" t="s">
        <v>81</v>
      </c>
      <c r="T35" s="17" t="s">
        <v>78</v>
      </c>
      <c r="U35" s="17" t="s">
        <v>81</v>
      </c>
      <c r="V35" s="17" t="s">
        <v>81</v>
      </c>
      <c r="W35" s="17" t="s">
        <v>81</v>
      </c>
      <c r="X35">
        <f t="shared" si="4"/>
        <v>5</v>
      </c>
      <c r="Y35">
        <f t="shared" si="5"/>
        <v>2</v>
      </c>
      <c r="Z35" s="7" t="s">
        <v>56</v>
      </c>
      <c r="AA35" s="7" t="str">
        <f t="shared" si="6"/>
        <v>No válido</v>
      </c>
      <c r="AB35" s="7" t="str">
        <f t="shared" si="7"/>
        <v>No válido</v>
      </c>
    </row>
    <row r="36" spans="1:28" x14ac:dyDescent="0.25">
      <c r="A36" t="s">
        <v>223</v>
      </c>
      <c r="B36" s="7" t="s">
        <v>98</v>
      </c>
      <c r="C36" s="10" t="s">
        <v>177</v>
      </c>
      <c r="D36" s="17" t="s">
        <v>81</v>
      </c>
      <c r="E36" s="17" t="s">
        <v>78</v>
      </c>
      <c r="F36" s="17" t="s">
        <v>78</v>
      </c>
      <c r="G36" s="17" t="s">
        <v>80</v>
      </c>
      <c r="H36" s="17" t="s">
        <v>78</v>
      </c>
      <c r="I36" s="17" t="s">
        <v>78</v>
      </c>
      <c r="J36" s="17" t="s">
        <v>78</v>
      </c>
      <c r="K36" s="17" t="s">
        <v>81</v>
      </c>
      <c r="L36" s="17" t="s">
        <v>81</v>
      </c>
      <c r="M36" s="17" t="s">
        <v>81</v>
      </c>
      <c r="N36" s="17" t="s">
        <v>78</v>
      </c>
      <c r="O36" s="17" t="s">
        <v>81</v>
      </c>
      <c r="P36" s="17" t="s">
        <v>81</v>
      </c>
      <c r="Q36" s="17" t="s">
        <v>78</v>
      </c>
      <c r="R36" s="17" t="s">
        <v>78</v>
      </c>
      <c r="S36" s="17" t="s">
        <v>78</v>
      </c>
      <c r="T36" s="17" t="s">
        <v>81</v>
      </c>
      <c r="U36" s="17" t="s">
        <v>81</v>
      </c>
      <c r="V36" s="17" t="s">
        <v>78</v>
      </c>
      <c r="W36" s="17" t="s">
        <v>81</v>
      </c>
      <c r="X36">
        <f t="shared" si="4"/>
        <v>7</v>
      </c>
      <c r="Y36">
        <f t="shared" si="5"/>
        <v>3</v>
      </c>
      <c r="Z36" s="7" t="s">
        <v>56</v>
      </c>
      <c r="AA36" s="7" t="str">
        <f t="shared" si="6"/>
        <v>No válido</v>
      </c>
      <c r="AB36" s="7" t="str">
        <f t="shared" si="7"/>
        <v>No válido</v>
      </c>
    </row>
    <row r="37" spans="1:28" x14ac:dyDescent="0.25">
      <c r="A37" t="s">
        <v>223</v>
      </c>
      <c r="B37" s="7" t="s">
        <v>100</v>
      </c>
      <c r="C37" t="s">
        <v>178</v>
      </c>
      <c r="D37" s="17" t="s">
        <v>81</v>
      </c>
      <c r="E37" s="17" t="s">
        <v>81</v>
      </c>
      <c r="F37" s="17" t="s">
        <v>81</v>
      </c>
      <c r="G37" s="17" t="s">
        <v>80</v>
      </c>
      <c r="H37" s="17" t="s">
        <v>81</v>
      </c>
      <c r="I37" s="17" t="s">
        <v>81</v>
      </c>
      <c r="J37" s="17" t="s">
        <v>78</v>
      </c>
      <c r="K37" s="17" t="s">
        <v>81</v>
      </c>
      <c r="L37" s="17" t="s">
        <v>81</v>
      </c>
      <c r="M37" s="17" t="s">
        <v>81</v>
      </c>
      <c r="N37" s="17" t="s">
        <v>78</v>
      </c>
      <c r="O37" s="17" t="s">
        <v>81</v>
      </c>
      <c r="P37" s="17" t="s">
        <v>81</v>
      </c>
      <c r="Q37" s="17" t="s">
        <v>78</v>
      </c>
      <c r="R37" s="17" t="s">
        <v>78</v>
      </c>
      <c r="S37" s="17" t="s">
        <v>78</v>
      </c>
      <c r="T37" s="17" t="s">
        <v>81</v>
      </c>
      <c r="U37" s="17" t="s">
        <v>81</v>
      </c>
      <c r="V37" s="17" t="s">
        <v>81</v>
      </c>
      <c r="W37" s="17" t="s">
        <v>81</v>
      </c>
      <c r="X37">
        <f t="shared" si="4"/>
        <v>3</v>
      </c>
      <c r="Y37">
        <f t="shared" si="5"/>
        <v>2</v>
      </c>
      <c r="Z37" s="7" t="s">
        <v>56</v>
      </c>
      <c r="AA37" s="7" t="str">
        <f t="shared" si="6"/>
        <v>No válido</v>
      </c>
      <c r="AB37" s="7" t="str">
        <f t="shared" si="7"/>
        <v>AA</v>
      </c>
    </row>
    <row r="38" spans="1:28" x14ac:dyDescent="0.25">
      <c r="A38" t="s">
        <v>223</v>
      </c>
      <c r="B38" s="7" t="s">
        <v>101</v>
      </c>
      <c r="C38" s="10" t="s">
        <v>179</v>
      </c>
      <c r="D38" s="17" t="s">
        <v>81</v>
      </c>
      <c r="E38" s="17" t="s">
        <v>81</v>
      </c>
      <c r="F38" s="17" t="s">
        <v>81</v>
      </c>
      <c r="G38" s="17" t="s">
        <v>80</v>
      </c>
      <c r="H38" s="17" t="s">
        <v>81</v>
      </c>
      <c r="I38" s="17" t="s">
        <v>81</v>
      </c>
      <c r="J38" s="17" t="s">
        <v>78</v>
      </c>
      <c r="K38" s="17" t="s">
        <v>81</v>
      </c>
      <c r="L38" s="17" t="s">
        <v>81</v>
      </c>
      <c r="M38" s="17" t="s">
        <v>81</v>
      </c>
      <c r="N38" s="17" t="s">
        <v>81</v>
      </c>
      <c r="O38" s="17" t="s">
        <v>78</v>
      </c>
      <c r="P38" s="17" t="s">
        <v>81</v>
      </c>
      <c r="Q38" s="17" t="s">
        <v>81</v>
      </c>
      <c r="R38" s="17" t="s">
        <v>78</v>
      </c>
      <c r="S38" s="17" t="s">
        <v>81</v>
      </c>
      <c r="T38" s="17" t="s">
        <v>81</v>
      </c>
      <c r="U38" s="17" t="s">
        <v>81</v>
      </c>
      <c r="V38" s="17" t="s">
        <v>81</v>
      </c>
      <c r="W38" s="17" t="s">
        <v>78</v>
      </c>
      <c r="X38">
        <f t="shared" si="4"/>
        <v>2</v>
      </c>
      <c r="Y38">
        <f t="shared" si="5"/>
        <v>2</v>
      </c>
      <c r="Z38" s="7" t="s">
        <v>55</v>
      </c>
      <c r="AA38" s="7" t="str">
        <f t="shared" si="6"/>
        <v>AA</v>
      </c>
      <c r="AB38" s="7" t="str">
        <f t="shared" si="7"/>
        <v>AA</v>
      </c>
    </row>
    <row r="39" spans="1:28" x14ac:dyDescent="0.25">
      <c r="A39" t="s">
        <v>223</v>
      </c>
      <c r="B39" s="7" t="s">
        <v>103</v>
      </c>
      <c r="C39" t="s">
        <v>180</v>
      </c>
      <c r="D39" s="17" t="s">
        <v>81</v>
      </c>
      <c r="E39" s="17" t="s">
        <v>81</v>
      </c>
      <c r="F39" s="17" t="s">
        <v>81</v>
      </c>
      <c r="G39" s="17" t="s">
        <v>81</v>
      </c>
      <c r="H39" s="17" t="s">
        <v>81</v>
      </c>
      <c r="I39" s="17" t="s">
        <v>81</v>
      </c>
      <c r="J39" s="17" t="s">
        <v>78</v>
      </c>
      <c r="K39" s="17" t="s">
        <v>81</v>
      </c>
      <c r="L39" s="17" t="s">
        <v>81</v>
      </c>
      <c r="M39" s="17" t="s">
        <v>81</v>
      </c>
      <c r="N39" s="17" t="s">
        <v>81</v>
      </c>
      <c r="O39" s="17" t="s">
        <v>81</v>
      </c>
      <c r="P39" s="17" t="s">
        <v>81</v>
      </c>
      <c r="Q39" s="17" t="s">
        <v>81</v>
      </c>
      <c r="R39" s="17" t="s">
        <v>78</v>
      </c>
      <c r="S39" s="17" t="s">
        <v>81</v>
      </c>
      <c r="T39" s="17" t="s">
        <v>81</v>
      </c>
      <c r="U39" s="17" t="s">
        <v>81</v>
      </c>
      <c r="V39" s="17" t="s">
        <v>81</v>
      </c>
      <c r="W39" s="17" t="s">
        <v>81</v>
      </c>
      <c r="X39">
        <f t="shared" si="4"/>
        <v>1</v>
      </c>
      <c r="Y39">
        <f t="shared" si="5"/>
        <v>1</v>
      </c>
      <c r="Z39" s="7" t="s">
        <v>55</v>
      </c>
      <c r="AA39" s="7" t="str">
        <f t="shared" si="6"/>
        <v>AA</v>
      </c>
      <c r="AB39" s="7" t="str">
        <f t="shared" si="7"/>
        <v>AA</v>
      </c>
    </row>
    <row r="40" spans="1:28" x14ac:dyDescent="0.25">
      <c r="A40" t="s">
        <v>223</v>
      </c>
      <c r="B40" s="7" t="s">
        <v>105</v>
      </c>
      <c r="C40" s="10" t="s">
        <v>181</v>
      </c>
      <c r="D40" s="17" t="s">
        <v>81</v>
      </c>
      <c r="E40" s="17" t="s">
        <v>81</v>
      </c>
      <c r="F40" s="17" t="s">
        <v>81</v>
      </c>
      <c r="G40" s="17" t="s">
        <v>80</v>
      </c>
      <c r="H40" s="17" t="s">
        <v>81</v>
      </c>
      <c r="I40" s="17" t="s">
        <v>81</v>
      </c>
      <c r="J40" s="17" t="s">
        <v>78</v>
      </c>
      <c r="K40" s="17" t="s">
        <v>81</v>
      </c>
      <c r="L40" s="17" t="s">
        <v>81</v>
      </c>
      <c r="M40" s="17" t="s">
        <v>81</v>
      </c>
      <c r="N40" s="17" t="s">
        <v>81</v>
      </c>
      <c r="O40" s="17" t="s">
        <v>78</v>
      </c>
      <c r="P40" s="17" t="s">
        <v>81</v>
      </c>
      <c r="Q40" s="17" t="s">
        <v>78</v>
      </c>
      <c r="R40" s="17" t="s">
        <v>78</v>
      </c>
      <c r="S40" s="17" t="s">
        <v>81</v>
      </c>
      <c r="T40" s="17" t="s">
        <v>81</v>
      </c>
      <c r="U40" s="17" t="s">
        <v>81</v>
      </c>
      <c r="V40" s="17" t="s">
        <v>81</v>
      </c>
      <c r="W40" s="17" t="s">
        <v>81</v>
      </c>
      <c r="X40">
        <f t="shared" si="4"/>
        <v>3</v>
      </c>
      <c r="Y40">
        <f t="shared" si="5"/>
        <v>1</v>
      </c>
      <c r="Z40" s="7" t="s">
        <v>56</v>
      </c>
      <c r="AA40" s="7" t="str">
        <f t="shared" si="6"/>
        <v>No válido</v>
      </c>
      <c r="AB40" s="7" t="str">
        <f t="shared" si="7"/>
        <v>AA</v>
      </c>
    </row>
    <row r="41" spans="1:28" x14ac:dyDescent="0.25">
      <c r="A41" t="s">
        <v>223</v>
      </c>
      <c r="B41" s="7" t="s">
        <v>107</v>
      </c>
      <c r="C41" t="s">
        <v>182</v>
      </c>
      <c r="D41" s="17" t="s">
        <v>78</v>
      </c>
      <c r="E41" s="17" t="s">
        <v>81</v>
      </c>
      <c r="F41" s="17" t="s">
        <v>78</v>
      </c>
      <c r="G41" s="17" t="s">
        <v>80</v>
      </c>
      <c r="H41" s="17" t="s">
        <v>81</v>
      </c>
      <c r="I41" s="17" t="s">
        <v>81</v>
      </c>
      <c r="J41" s="17" t="s">
        <v>78</v>
      </c>
      <c r="K41" s="17" t="s">
        <v>81</v>
      </c>
      <c r="L41" s="17" t="s">
        <v>81</v>
      </c>
      <c r="M41" s="17" t="s">
        <v>81</v>
      </c>
      <c r="N41" s="17" t="s">
        <v>81</v>
      </c>
      <c r="O41" s="17" t="s">
        <v>78</v>
      </c>
      <c r="P41" s="17" t="s">
        <v>81</v>
      </c>
      <c r="Q41" s="17" t="s">
        <v>78</v>
      </c>
      <c r="R41" s="17" t="s">
        <v>78</v>
      </c>
      <c r="S41" s="17" t="s">
        <v>81</v>
      </c>
      <c r="T41" s="17" t="s">
        <v>81</v>
      </c>
      <c r="U41" s="17" t="s">
        <v>81</v>
      </c>
      <c r="V41" s="17" t="s">
        <v>81</v>
      </c>
      <c r="W41" s="17" t="s">
        <v>81</v>
      </c>
      <c r="X41">
        <f t="shared" si="4"/>
        <v>5</v>
      </c>
      <c r="Y41">
        <f t="shared" si="5"/>
        <v>1</v>
      </c>
      <c r="Z41" s="7" t="s">
        <v>56</v>
      </c>
      <c r="AA41" s="7" t="str">
        <f t="shared" si="6"/>
        <v>No válido</v>
      </c>
      <c r="AB41" s="7" t="str">
        <f t="shared" si="7"/>
        <v>No válido</v>
      </c>
    </row>
    <row r="42" spans="1:28" x14ac:dyDescent="0.25">
      <c r="A42" t="s">
        <v>223</v>
      </c>
      <c r="B42" s="7" t="s">
        <v>109</v>
      </c>
      <c r="C42" s="10" t="s">
        <v>183</v>
      </c>
      <c r="D42" s="17" t="s">
        <v>81</v>
      </c>
      <c r="E42" s="17" t="s">
        <v>81</v>
      </c>
      <c r="F42" s="17" t="s">
        <v>81</v>
      </c>
      <c r="G42" s="17" t="s">
        <v>81</v>
      </c>
      <c r="H42" s="17" t="s">
        <v>78</v>
      </c>
      <c r="I42" s="17" t="s">
        <v>78</v>
      </c>
      <c r="J42" s="17" t="s">
        <v>78</v>
      </c>
      <c r="K42" s="17" t="s">
        <v>81</v>
      </c>
      <c r="L42" s="17" t="s">
        <v>81</v>
      </c>
      <c r="M42" s="17" t="s">
        <v>81</v>
      </c>
      <c r="N42" s="17" t="s">
        <v>81</v>
      </c>
      <c r="O42" s="17" t="s">
        <v>81</v>
      </c>
      <c r="P42" s="17" t="s">
        <v>81</v>
      </c>
      <c r="Q42" s="17" t="s">
        <v>78</v>
      </c>
      <c r="R42" s="17" t="s">
        <v>78</v>
      </c>
      <c r="S42" s="17" t="s">
        <v>78</v>
      </c>
      <c r="T42" s="17" t="s">
        <v>81</v>
      </c>
      <c r="U42" s="17" t="s">
        <v>81</v>
      </c>
      <c r="V42" s="17" t="s">
        <v>81</v>
      </c>
      <c r="W42" s="17" t="s">
        <v>81</v>
      </c>
      <c r="X42">
        <f t="shared" si="4"/>
        <v>4</v>
      </c>
      <c r="Y42">
        <f t="shared" si="5"/>
        <v>2</v>
      </c>
      <c r="Z42" s="7" t="s">
        <v>56</v>
      </c>
      <c r="AA42" s="7" t="str">
        <f t="shared" si="6"/>
        <v>No válido</v>
      </c>
      <c r="AB42" s="7" t="str">
        <f t="shared" si="7"/>
        <v>No válido</v>
      </c>
    </row>
    <row r="43" spans="1:28" x14ac:dyDescent="0.25">
      <c r="A43" t="s">
        <v>223</v>
      </c>
      <c r="B43" s="7" t="s">
        <v>111</v>
      </c>
      <c r="C43" t="s">
        <v>184</v>
      </c>
      <c r="D43" s="17" t="s">
        <v>81</v>
      </c>
      <c r="E43" s="17" t="s">
        <v>81</v>
      </c>
      <c r="F43" s="17" t="s">
        <v>78</v>
      </c>
      <c r="G43" s="17" t="s">
        <v>80</v>
      </c>
      <c r="H43" s="17" t="s">
        <v>78</v>
      </c>
      <c r="I43" s="17" t="s">
        <v>78</v>
      </c>
      <c r="J43" s="17" t="s">
        <v>78</v>
      </c>
      <c r="K43" s="17" t="s">
        <v>78</v>
      </c>
      <c r="L43" s="17" t="s">
        <v>78</v>
      </c>
      <c r="M43" s="17" t="s">
        <v>81</v>
      </c>
      <c r="N43" s="17" t="s">
        <v>78</v>
      </c>
      <c r="O43" s="17" t="s">
        <v>78</v>
      </c>
      <c r="P43" s="17" t="s">
        <v>81</v>
      </c>
      <c r="Q43" s="17" t="s">
        <v>78</v>
      </c>
      <c r="R43" s="17" t="s">
        <v>78</v>
      </c>
      <c r="S43" s="17" t="s">
        <v>78</v>
      </c>
      <c r="T43" s="17" t="s">
        <v>78</v>
      </c>
      <c r="U43" s="17" t="s">
        <v>81</v>
      </c>
      <c r="V43" s="17" t="s">
        <v>81</v>
      </c>
      <c r="W43" s="17" t="s">
        <v>78</v>
      </c>
      <c r="X43">
        <f t="shared" si="4"/>
        <v>9</v>
      </c>
      <c r="Y43">
        <f t="shared" si="5"/>
        <v>4</v>
      </c>
      <c r="Z43" s="7" t="s">
        <v>56</v>
      </c>
      <c r="AA43" s="7" t="str">
        <f t="shared" si="6"/>
        <v>No válido</v>
      </c>
      <c r="AB43" s="7" t="str">
        <f t="shared" si="7"/>
        <v>No válido</v>
      </c>
    </row>
    <row r="44" spans="1:28" x14ac:dyDescent="0.25">
      <c r="A44" t="s">
        <v>223</v>
      </c>
      <c r="B44" s="7" t="s">
        <v>113</v>
      </c>
      <c r="C44" s="10" t="s">
        <v>185</v>
      </c>
      <c r="D44" s="17" t="s">
        <v>81</v>
      </c>
      <c r="E44" s="17" t="s">
        <v>81</v>
      </c>
      <c r="F44" s="17" t="s">
        <v>81</v>
      </c>
      <c r="G44" s="17" t="s">
        <v>80</v>
      </c>
      <c r="H44" s="17" t="s">
        <v>81</v>
      </c>
      <c r="I44" s="17" t="s">
        <v>78</v>
      </c>
      <c r="J44" s="17" t="s">
        <v>78</v>
      </c>
      <c r="K44" s="17" t="s">
        <v>81</v>
      </c>
      <c r="L44" s="17" t="s">
        <v>81</v>
      </c>
      <c r="M44" s="17" t="s">
        <v>81</v>
      </c>
      <c r="N44" s="17" t="s">
        <v>81</v>
      </c>
      <c r="O44" s="17" t="s">
        <v>81</v>
      </c>
      <c r="P44" s="17" t="s">
        <v>81</v>
      </c>
      <c r="Q44" s="17" t="s">
        <v>78</v>
      </c>
      <c r="R44" s="17" t="s">
        <v>78</v>
      </c>
      <c r="S44" s="17" t="s">
        <v>81</v>
      </c>
      <c r="T44" s="17" t="s">
        <v>81</v>
      </c>
      <c r="U44" s="17" t="s">
        <v>78</v>
      </c>
      <c r="V44" s="17" t="s">
        <v>81</v>
      </c>
      <c r="W44" s="17" t="s">
        <v>78</v>
      </c>
      <c r="X44">
        <f t="shared" si="4"/>
        <v>3</v>
      </c>
      <c r="Y44">
        <f t="shared" si="5"/>
        <v>3</v>
      </c>
      <c r="Z44" s="7" t="s">
        <v>56</v>
      </c>
      <c r="AA44" s="7" t="str">
        <f t="shared" si="6"/>
        <v>No válido</v>
      </c>
      <c r="AB44" s="7" t="str">
        <f t="shared" si="7"/>
        <v>AA</v>
      </c>
    </row>
    <row r="45" spans="1:28" x14ac:dyDescent="0.25">
      <c r="A45" t="s">
        <v>223</v>
      </c>
      <c r="B45" s="7" t="s">
        <v>115</v>
      </c>
      <c r="C45" t="s">
        <v>186</v>
      </c>
      <c r="D45" s="17" t="s">
        <v>78</v>
      </c>
      <c r="E45" s="17" t="s">
        <v>78</v>
      </c>
      <c r="F45" s="17" t="s">
        <v>81</v>
      </c>
      <c r="G45" s="17" t="s">
        <v>80</v>
      </c>
      <c r="H45" s="17" t="s">
        <v>81</v>
      </c>
      <c r="I45" s="17" t="s">
        <v>81</v>
      </c>
      <c r="J45" s="17" t="s">
        <v>78</v>
      </c>
      <c r="K45" s="17" t="s">
        <v>81</v>
      </c>
      <c r="L45" s="17" t="s">
        <v>81</v>
      </c>
      <c r="M45" s="17" t="s">
        <v>81</v>
      </c>
      <c r="N45" s="17" t="s">
        <v>81</v>
      </c>
      <c r="O45" s="17" t="s">
        <v>78</v>
      </c>
      <c r="P45" s="17" t="s">
        <v>81</v>
      </c>
      <c r="Q45" s="17" t="s">
        <v>81</v>
      </c>
      <c r="R45" s="17" t="s">
        <v>78</v>
      </c>
      <c r="S45" s="17" t="s">
        <v>81</v>
      </c>
      <c r="T45" s="17" t="s">
        <v>81</v>
      </c>
      <c r="U45" s="17" t="s">
        <v>81</v>
      </c>
      <c r="V45" s="17" t="s">
        <v>81</v>
      </c>
      <c r="W45" s="17" t="s">
        <v>78</v>
      </c>
      <c r="X45">
        <f t="shared" si="4"/>
        <v>4</v>
      </c>
      <c r="Y45">
        <f t="shared" si="5"/>
        <v>2</v>
      </c>
      <c r="Z45" s="7" t="s">
        <v>56</v>
      </c>
      <c r="AA45" s="7" t="str">
        <f t="shared" si="6"/>
        <v>No válido</v>
      </c>
      <c r="AB45" s="7" t="str">
        <f t="shared" si="7"/>
        <v>No válido</v>
      </c>
    </row>
    <row r="46" spans="1:28" x14ac:dyDescent="0.25">
      <c r="A46" t="s">
        <v>223</v>
      </c>
      <c r="B46" s="7" t="s">
        <v>117</v>
      </c>
      <c r="C46" s="10" t="s">
        <v>187</v>
      </c>
      <c r="D46" s="17" t="s">
        <v>78</v>
      </c>
      <c r="E46" s="17" t="s">
        <v>78</v>
      </c>
      <c r="F46" s="17" t="s">
        <v>81</v>
      </c>
      <c r="G46" s="17" t="s">
        <v>80</v>
      </c>
      <c r="H46" s="17" t="s">
        <v>78</v>
      </c>
      <c r="I46" s="17" t="s">
        <v>81</v>
      </c>
      <c r="J46" s="17" t="s">
        <v>78</v>
      </c>
      <c r="K46" s="17" t="s">
        <v>78</v>
      </c>
      <c r="L46" s="17" t="s">
        <v>81</v>
      </c>
      <c r="M46" s="17" t="s">
        <v>81</v>
      </c>
      <c r="N46" s="17" t="s">
        <v>81</v>
      </c>
      <c r="O46" s="17" t="s">
        <v>78</v>
      </c>
      <c r="P46" s="17" t="s">
        <v>81</v>
      </c>
      <c r="Q46" s="17" t="s">
        <v>78</v>
      </c>
      <c r="R46" s="17" t="s">
        <v>78</v>
      </c>
      <c r="S46" s="17" t="s">
        <v>78</v>
      </c>
      <c r="T46" s="17" t="s">
        <v>81</v>
      </c>
      <c r="U46" s="17" t="s">
        <v>81</v>
      </c>
      <c r="V46" s="17" t="s">
        <v>78</v>
      </c>
      <c r="W46" s="17" t="s">
        <v>81</v>
      </c>
      <c r="X46">
        <f t="shared" si="4"/>
        <v>7</v>
      </c>
      <c r="Y46">
        <f t="shared" si="5"/>
        <v>3</v>
      </c>
      <c r="Z46" s="7" t="s">
        <v>56</v>
      </c>
      <c r="AA46" s="7" t="str">
        <f t="shared" si="6"/>
        <v>No válido</v>
      </c>
      <c r="AB46" s="7" t="str">
        <f t="shared" si="7"/>
        <v>No válido</v>
      </c>
    </row>
    <row r="47" spans="1:28" x14ac:dyDescent="0.25">
      <c r="A47" t="s">
        <v>223</v>
      </c>
      <c r="B47" s="7" t="s">
        <v>119</v>
      </c>
      <c r="C47" t="s">
        <v>37</v>
      </c>
      <c r="D47" s="17" t="s">
        <v>78</v>
      </c>
      <c r="E47" s="17" t="s">
        <v>78</v>
      </c>
      <c r="F47" s="17" t="s">
        <v>78</v>
      </c>
      <c r="G47" s="17" t="s">
        <v>78</v>
      </c>
      <c r="H47" s="17" t="s">
        <v>81</v>
      </c>
      <c r="I47" s="17" t="s">
        <v>78</v>
      </c>
      <c r="J47" s="17" t="s">
        <v>78</v>
      </c>
      <c r="K47" s="17" t="s">
        <v>81</v>
      </c>
      <c r="L47" s="17" t="s">
        <v>78</v>
      </c>
      <c r="M47" s="17" t="s">
        <v>81</v>
      </c>
      <c r="N47" s="17" t="s">
        <v>81</v>
      </c>
      <c r="O47" s="17" t="s">
        <v>80</v>
      </c>
      <c r="P47" s="17" t="s">
        <v>81</v>
      </c>
      <c r="Q47" s="17" t="s">
        <v>81</v>
      </c>
      <c r="R47" s="17" t="s">
        <v>78</v>
      </c>
      <c r="S47" s="17" t="s">
        <v>81</v>
      </c>
      <c r="T47" s="17" t="s">
        <v>78</v>
      </c>
      <c r="U47" s="17" t="s">
        <v>78</v>
      </c>
      <c r="V47" s="17" t="s">
        <v>81</v>
      </c>
      <c r="W47" s="17" t="s">
        <v>80</v>
      </c>
      <c r="X47">
        <f t="shared" si="4"/>
        <v>7</v>
      </c>
      <c r="Y47">
        <f t="shared" si="5"/>
        <v>3</v>
      </c>
      <c r="Z47" s="7" t="s">
        <v>56</v>
      </c>
      <c r="AA47" s="7" t="str">
        <f t="shared" si="6"/>
        <v>No válido</v>
      </c>
      <c r="AB47" s="7" t="str">
        <f t="shared" si="7"/>
        <v>No válido</v>
      </c>
    </row>
    <row r="48" spans="1:28" x14ac:dyDescent="0.25">
      <c r="A48" t="s">
        <v>223</v>
      </c>
      <c r="B48" s="7" t="s">
        <v>121</v>
      </c>
      <c r="C48" s="10" t="s">
        <v>188</v>
      </c>
      <c r="D48" s="17" t="s">
        <v>81</v>
      </c>
      <c r="E48" s="17" t="s">
        <v>81</v>
      </c>
      <c r="F48" s="17" t="s">
        <v>81</v>
      </c>
      <c r="G48" s="17" t="s">
        <v>81</v>
      </c>
      <c r="H48" s="17" t="s">
        <v>78</v>
      </c>
      <c r="I48" s="17" t="s">
        <v>81</v>
      </c>
      <c r="J48" s="17" t="s">
        <v>78</v>
      </c>
      <c r="K48" s="17" t="s">
        <v>78</v>
      </c>
      <c r="L48" s="17" t="s">
        <v>81</v>
      </c>
      <c r="M48" s="17" t="s">
        <v>81</v>
      </c>
      <c r="N48" s="17" t="s">
        <v>81</v>
      </c>
      <c r="O48" s="17" t="s">
        <v>81</v>
      </c>
      <c r="P48" s="17" t="s">
        <v>81</v>
      </c>
      <c r="Q48" s="17" t="s">
        <v>81</v>
      </c>
      <c r="R48" s="17" t="s">
        <v>78</v>
      </c>
      <c r="S48" s="17" t="s">
        <v>81</v>
      </c>
      <c r="T48" s="17" t="s">
        <v>81</v>
      </c>
      <c r="U48" s="17" t="s">
        <v>81</v>
      </c>
      <c r="V48" s="17" t="s">
        <v>81</v>
      </c>
      <c r="W48" s="17" t="s">
        <v>81</v>
      </c>
      <c r="X48">
        <f t="shared" si="4"/>
        <v>3</v>
      </c>
      <c r="Y48">
        <f t="shared" si="5"/>
        <v>1</v>
      </c>
      <c r="Z48" s="7" t="s">
        <v>56</v>
      </c>
      <c r="AA48" s="7" t="str">
        <f t="shared" si="6"/>
        <v>No válido</v>
      </c>
      <c r="AB48" s="7" t="str">
        <f t="shared" si="7"/>
        <v>AA</v>
      </c>
    </row>
    <row r="49" spans="1:28" x14ac:dyDescent="0.25">
      <c r="A49" t="s">
        <v>223</v>
      </c>
      <c r="B49" s="7" t="s">
        <v>123</v>
      </c>
      <c r="C49" t="s">
        <v>189</v>
      </c>
      <c r="D49" s="17" t="s">
        <v>81</v>
      </c>
      <c r="E49" s="17" t="s">
        <v>78</v>
      </c>
      <c r="F49" s="17" t="s">
        <v>81</v>
      </c>
      <c r="G49" s="17" t="s">
        <v>80</v>
      </c>
      <c r="H49" s="17" t="s">
        <v>81</v>
      </c>
      <c r="I49" s="17" t="s">
        <v>81</v>
      </c>
      <c r="J49" s="17" t="s">
        <v>78</v>
      </c>
      <c r="K49" s="17" t="s">
        <v>81</v>
      </c>
      <c r="L49" s="17" t="s">
        <v>81</v>
      </c>
      <c r="M49" s="17" t="s">
        <v>81</v>
      </c>
      <c r="N49" s="17" t="s">
        <v>81</v>
      </c>
      <c r="O49" s="17" t="s">
        <v>81</v>
      </c>
      <c r="P49" s="17" t="s">
        <v>81</v>
      </c>
      <c r="Q49" s="17" t="s">
        <v>81</v>
      </c>
      <c r="R49" s="17" t="s">
        <v>78</v>
      </c>
      <c r="S49" s="17" t="s">
        <v>81</v>
      </c>
      <c r="T49" s="17" t="s">
        <v>81</v>
      </c>
      <c r="U49" s="17" t="s">
        <v>81</v>
      </c>
      <c r="V49" s="17" t="s">
        <v>78</v>
      </c>
      <c r="W49" s="17" t="s">
        <v>81</v>
      </c>
      <c r="X49">
        <f t="shared" si="4"/>
        <v>2</v>
      </c>
      <c r="Y49">
        <f t="shared" si="5"/>
        <v>2</v>
      </c>
      <c r="Z49" s="7" t="s">
        <v>55</v>
      </c>
      <c r="AA49" s="7" t="str">
        <f t="shared" si="6"/>
        <v>AA</v>
      </c>
      <c r="AB49" s="7" t="str">
        <f t="shared" si="7"/>
        <v>AA</v>
      </c>
    </row>
    <row r="50" spans="1:28" x14ac:dyDescent="0.25">
      <c r="A50" t="s">
        <v>223</v>
      </c>
      <c r="B50" s="7" t="s">
        <v>125</v>
      </c>
      <c r="C50" s="10" t="s">
        <v>190</v>
      </c>
      <c r="D50" s="17" t="s">
        <v>78</v>
      </c>
      <c r="E50" s="17" t="s">
        <v>78</v>
      </c>
      <c r="F50" s="17" t="s">
        <v>81</v>
      </c>
      <c r="G50" s="17" t="s">
        <v>80</v>
      </c>
      <c r="H50" s="17" t="s">
        <v>81</v>
      </c>
      <c r="I50" s="17" t="s">
        <v>81</v>
      </c>
      <c r="J50" s="17" t="s">
        <v>78</v>
      </c>
      <c r="K50" s="17" t="s">
        <v>81</v>
      </c>
      <c r="L50" s="17" t="s">
        <v>81</v>
      </c>
      <c r="M50" s="17" t="s">
        <v>81</v>
      </c>
      <c r="N50" s="17" t="s">
        <v>81</v>
      </c>
      <c r="O50" s="17" t="s">
        <v>78</v>
      </c>
      <c r="P50" s="17" t="s">
        <v>81</v>
      </c>
      <c r="Q50" s="17" t="s">
        <v>78</v>
      </c>
      <c r="R50" s="17" t="s">
        <v>78</v>
      </c>
      <c r="S50" s="17" t="s">
        <v>78</v>
      </c>
      <c r="T50" s="17" t="s">
        <v>81</v>
      </c>
      <c r="U50" s="17" t="s">
        <v>81</v>
      </c>
      <c r="V50" s="17" t="s">
        <v>78</v>
      </c>
      <c r="W50" s="17" t="s">
        <v>81</v>
      </c>
      <c r="X50">
        <f t="shared" si="4"/>
        <v>5</v>
      </c>
      <c r="Y50">
        <f t="shared" si="5"/>
        <v>3</v>
      </c>
      <c r="Z50" s="7" t="s">
        <v>56</v>
      </c>
      <c r="AA50" s="7" t="str">
        <f t="shared" si="6"/>
        <v>No válido</v>
      </c>
      <c r="AB50" s="7" t="str">
        <f t="shared" si="7"/>
        <v>No válido</v>
      </c>
    </row>
    <row r="51" spans="1:28" x14ac:dyDescent="0.25">
      <c r="A51" t="s">
        <v>223</v>
      </c>
      <c r="B51" s="7" t="s">
        <v>127</v>
      </c>
      <c r="C51" t="s">
        <v>191</v>
      </c>
      <c r="D51" s="17" t="s">
        <v>81</v>
      </c>
      <c r="E51" s="17" t="s">
        <v>81</v>
      </c>
      <c r="F51" s="17" t="s">
        <v>81</v>
      </c>
      <c r="G51" s="17" t="s">
        <v>81</v>
      </c>
      <c r="H51" s="17" t="s">
        <v>78</v>
      </c>
      <c r="I51" s="17" t="s">
        <v>78</v>
      </c>
      <c r="J51" s="17" t="s">
        <v>78</v>
      </c>
      <c r="K51" s="17" t="s">
        <v>81</v>
      </c>
      <c r="L51" s="17" t="s">
        <v>78</v>
      </c>
      <c r="M51" s="17" t="s">
        <v>81</v>
      </c>
      <c r="N51" s="17" t="s">
        <v>81</v>
      </c>
      <c r="O51" s="17" t="s">
        <v>78</v>
      </c>
      <c r="P51" s="17" t="s">
        <v>81</v>
      </c>
      <c r="Q51" s="17" t="s">
        <v>78</v>
      </c>
      <c r="R51" s="17" t="s">
        <v>78</v>
      </c>
      <c r="S51" s="17" t="s">
        <v>81</v>
      </c>
      <c r="T51" s="17" t="s">
        <v>81</v>
      </c>
      <c r="U51" s="17" t="s">
        <v>81</v>
      </c>
      <c r="V51" s="17" t="s">
        <v>81</v>
      </c>
      <c r="W51" s="17" t="s">
        <v>81</v>
      </c>
      <c r="X51">
        <f t="shared" si="4"/>
        <v>6</v>
      </c>
      <c r="Y51">
        <f t="shared" si="5"/>
        <v>1</v>
      </c>
      <c r="Z51" s="7" t="s">
        <v>56</v>
      </c>
      <c r="AA51" s="7" t="str">
        <f t="shared" si="6"/>
        <v>No válido</v>
      </c>
      <c r="AB51" s="7" t="str">
        <f t="shared" si="7"/>
        <v>No válido</v>
      </c>
    </row>
    <row r="52" spans="1:28" x14ac:dyDescent="0.25">
      <c r="A52" t="s">
        <v>223</v>
      </c>
      <c r="B52" s="7" t="s">
        <v>129</v>
      </c>
      <c r="C52" s="10" t="s">
        <v>192</v>
      </c>
      <c r="D52" s="17" t="s">
        <v>81</v>
      </c>
      <c r="E52" s="17" t="s">
        <v>81</v>
      </c>
      <c r="F52" s="17" t="s">
        <v>81</v>
      </c>
      <c r="G52" s="17" t="s">
        <v>80</v>
      </c>
      <c r="H52" s="17" t="s">
        <v>78</v>
      </c>
      <c r="I52" s="17" t="s">
        <v>81</v>
      </c>
      <c r="J52" s="17" t="s">
        <v>78</v>
      </c>
      <c r="K52" s="17" t="s">
        <v>81</v>
      </c>
      <c r="L52" s="17" t="s">
        <v>78</v>
      </c>
      <c r="M52" s="17" t="s">
        <v>78</v>
      </c>
      <c r="N52" s="17" t="s">
        <v>81</v>
      </c>
      <c r="O52" s="17" t="s">
        <v>78</v>
      </c>
      <c r="P52" s="17" t="s">
        <v>81</v>
      </c>
      <c r="Q52" s="17" t="s">
        <v>81</v>
      </c>
      <c r="R52" s="17" t="s">
        <v>78</v>
      </c>
      <c r="S52" s="17" t="s">
        <v>81</v>
      </c>
      <c r="T52" s="17" t="s">
        <v>81</v>
      </c>
      <c r="U52" s="17" t="s">
        <v>81</v>
      </c>
      <c r="V52" s="17" t="s">
        <v>78</v>
      </c>
      <c r="W52" s="17" t="s">
        <v>81</v>
      </c>
      <c r="X52">
        <f t="shared" si="4"/>
        <v>5</v>
      </c>
      <c r="Y52">
        <f t="shared" si="5"/>
        <v>2</v>
      </c>
      <c r="Z52" s="7" t="s">
        <v>56</v>
      </c>
      <c r="AA52" s="7" t="str">
        <f t="shared" si="6"/>
        <v>No válido</v>
      </c>
      <c r="AB52" s="7" t="str">
        <f t="shared" si="7"/>
        <v>No válido</v>
      </c>
    </row>
    <row r="53" spans="1:28" x14ac:dyDescent="0.25">
      <c r="A53" t="s">
        <v>223</v>
      </c>
      <c r="B53" s="7" t="s">
        <v>131</v>
      </c>
      <c r="C53" t="s">
        <v>193</v>
      </c>
      <c r="D53" s="17" t="s">
        <v>78</v>
      </c>
      <c r="E53" s="17" t="s">
        <v>78</v>
      </c>
      <c r="F53" s="17" t="s">
        <v>78</v>
      </c>
      <c r="G53" s="17" t="s">
        <v>81</v>
      </c>
      <c r="H53" s="17" t="s">
        <v>81</v>
      </c>
      <c r="I53" s="17" t="s">
        <v>78</v>
      </c>
      <c r="J53" s="17" t="s">
        <v>78</v>
      </c>
      <c r="K53" s="17" t="s">
        <v>81</v>
      </c>
      <c r="L53" s="17" t="s">
        <v>80</v>
      </c>
      <c r="M53" s="17" t="s">
        <v>80</v>
      </c>
      <c r="N53" s="17" t="s">
        <v>81</v>
      </c>
      <c r="O53" s="17" t="s">
        <v>78</v>
      </c>
      <c r="P53" s="17" t="s">
        <v>81</v>
      </c>
      <c r="Q53" s="17" t="s">
        <v>78</v>
      </c>
      <c r="R53" s="17" t="s">
        <v>78</v>
      </c>
      <c r="S53" s="17" t="s">
        <v>81</v>
      </c>
      <c r="T53" s="17" t="s">
        <v>81</v>
      </c>
      <c r="U53" s="17" t="s">
        <v>81</v>
      </c>
      <c r="V53" s="17" t="s">
        <v>81</v>
      </c>
      <c r="W53" s="17" t="s">
        <v>81</v>
      </c>
      <c r="X53">
        <f t="shared" si="4"/>
        <v>7</v>
      </c>
      <c r="Y53">
        <f t="shared" si="5"/>
        <v>1</v>
      </c>
      <c r="Z53" s="7" t="s">
        <v>56</v>
      </c>
      <c r="AA53" s="7" t="str">
        <f t="shared" si="6"/>
        <v>No válido</v>
      </c>
      <c r="AB53" s="7" t="str">
        <f t="shared" si="7"/>
        <v>No válido</v>
      </c>
    </row>
    <row r="54" spans="1:28" x14ac:dyDescent="0.25">
      <c r="A54" t="s">
        <v>223</v>
      </c>
      <c r="B54" s="7" t="s">
        <v>133</v>
      </c>
      <c r="C54" s="10" t="s">
        <v>194</v>
      </c>
      <c r="D54" s="17" t="s">
        <v>81</v>
      </c>
      <c r="E54" s="17" t="s">
        <v>81</v>
      </c>
      <c r="F54" s="17" t="s">
        <v>81</v>
      </c>
      <c r="G54" s="17" t="s">
        <v>80</v>
      </c>
      <c r="H54" s="17" t="s">
        <v>78</v>
      </c>
      <c r="I54" s="17" t="s">
        <v>81</v>
      </c>
      <c r="J54" s="17" t="s">
        <v>78</v>
      </c>
      <c r="K54" s="17" t="s">
        <v>81</v>
      </c>
      <c r="L54" s="17" t="s">
        <v>81</v>
      </c>
      <c r="M54" s="17" t="s">
        <v>79</v>
      </c>
      <c r="N54" s="17" t="s">
        <v>81</v>
      </c>
      <c r="O54" s="17" t="s">
        <v>81</v>
      </c>
      <c r="P54" s="17" t="s">
        <v>81</v>
      </c>
      <c r="Q54" s="17" t="s">
        <v>78</v>
      </c>
      <c r="R54" s="17" t="s">
        <v>78</v>
      </c>
      <c r="S54" s="17" t="s">
        <v>78</v>
      </c>
      <c r="T54" s="17" t="s">
        <v>81</v>
      </c>
      <c r="U54" s="17" t="s">
        <v>81</v>
      </c>
      <c r="V54" s="17" t="s">
        <v>81</v>
      </c>
      <c r="W54" s="17" t="s">
        <v>81</v>
      </c>
      <c r="X54">
        <f t="shared" si="4"/>
        <v>3</v>
      </c>
      <c r="Y54">
        <f t="shared" si="5"/>
        <v>2</v>
      </c>
      <c r="Z54" s="7" t="s">
        <v>56</v>
      </c>
      <c r="AA54" s="7" t="str">
        <f t="shared" si="6"/>
        <v>No válido</v>
      </c>
      <c r="AB54" s="7" t="str">
        <f t="shared" si="7"/>
        <v>AA</v>
      </c>
    </row>
    <row r="55" spans="1:28" x14ac:dyDescent="0.25">
      <c r="A55" t="s">
        <v>223</v>
      </c>
      <c r="B55" s="7" t="s">
        <v>134</v>
      </c>
      <c r="C55" t="s">
        <v>195</v>
      </c>
      <c r="D55" s="17" t="s">
        <v>81</v>
      </c>
      <c r="E55" s="17" t="s">
        <v>81</v>
      </c>
      <c r="F55" s="17" t="s">
        <v>81</v>
      </c>
      <c r="G55" s="17" t="s">
        <v>80</v>
      </c>
      <c r="H55" s="17" t="s">
        <v>81</v>
      </c>
      <c r="I55" s="17" t="s">
        <v>81</v>
      </c>
      <c r="J55" s="17" t="s">
        <v>78</v>
      </c>
      <c r="K55" s="17" t="s">
        <v>81</v>
      </c>
      <c r="L55" s="17" t="s">
        <v>80</v>
      </c>
      <c r="M55" s="17" t="s">
        <v>80</v>
      </c>
      <c r="N55" s="17" t="s">
        <v>81</v>
      </c>
      <c r="O55" s="17" t="s">
        <v>78</v>
      </c>
      <c r="P55" s="17" t="s">
        <v>81</v>
      </c>
      <c r="Q55" s="17" t="s">
        <v>81</v>
      </c>
      <c r="R55" s="17" t="s">
        <v>78</v>
      </c>
      <c r="S55" s="17" t="s">
        <v>81</v>
      </c>
      <c r="T55" s="17" t="s">
        <v>81</v>
      </c>
      <c r="U55" s="17" t="s">
        <v>78</v>
      </c>
      <c r="V55" s="17" t="s">
        <v>81</v>
      </c>
      <c r="W55" s="17" t="s">
        <v>81</v>
      </c>
      <c r="X55">
        <f t="shared" si="4"/>
        <v>2</v>
      </c>
      <c r="Y55">
        <f t="shared" si="5"/>
        <v>2</v>
      </c>
      <c r="Z55" s="7" t="s">
        <v>55</v>
      </c>
      <c r="AA55" s="7" t="str">
        <f t="shared" si="6"/>
        <v>AA</v>
      </c>
      <c r="AB55" s="7" t="str">
        <f t="shared" si="7"/>
        <v>AA</v>
      </c>
    </row>
    <row r="56" spans="1:28" x14ac:dyDescent="0.25">
      <c r="A56" t="s">
        <v>223</v>
      </c>
      <c r="B56" s="7" t="s">
        <v>135</v>
      </c>
      <c r="C56" s="10" t="s">
        <v>196</v>
      </c>
      <c r="D56" s="17" t="s">
        <v>81</v>
      </c>
      <c r="E56" s="17" t="s">
        <v>81</v>
      </c>
      <c r="F56" s="17" t="s">
        <v>81</v>
      </c>
      <c r="G56" s="17" t="s">
        <v>80</v>
      </c>
      <c r="H56" s="17" t="s">
        <v>81</v>
      </c>
      <c r="I56" s="17" t="s">
        <v>81</v>
      </c>
      <c r="J56" s="17" t="s">
        <v>78</v>
      </c>
      <c r="K56" s="17" t="s">
        <v>81</v>
      </c>
      <c r="L56" s="17" t="s">
        <v>81</v>
      </c>
      <c r="M56" s="17" t="s">
        <v>81</v>
      </c>
      <c r="N56" s="17" t="s">
        <v>81</v>
      </c>
      <c r="O56" s="17" t="s">
        <v>81</v>
      </c>
      <c r="P56" s="17" t="s">
        <v>81</v>
      </c>
      <c r="Q56" s="17" t="s">
        <v>78</v>
      </c>
      <c r="R56" s="17" t="s">
        <v>78</v>
      </c>
      <c r="S56" s="17" t="s">
        <v>81</v>
      </c>
      <c r="T56" s="17" t="s">
        <v>81</v>
      </c>
      <c r="U56" s="17" t="s">
        <v>81</v>
      </c>
      <c r="V56" s="17" t="s">
        <v>81</v>
      </c>
      <c r="W56" s="17" t="s">
        <v>81</v>
      </c>
      <c r="X56">
        <f t="shared" si="4"/>
        <v>2</v>
      </c>
      <c r="Y56">
        <f t="shared" si="5"/>
        <v>1</v>
      </c>
      <c r="Z56" s="7" t="s">
        <v>55</v>
      </c>
      <c r="AA56" s="7" t="str">
        <f t="shared" si="6"/>
        <v>AA</v>
      </c>
      <c r="AB56" s="7" t="str">
        <f t="shared" si="7"/>
        <v>AA</v>
      </c>
    </row>
    <row r="57" spans="1:28" x14ac:dyDescent="0.25">
      <c r="A57" t="s">
        <v>223</v>
      </c>
      <c r="B57" s="7" t="s">
        <v>137</v>
      </c>
      <c r="C57" t="s">
        <v>38</v>
      </c>
      <c r="D57" s="17" t="s">
        <v>78</v>
      </c>
      <c r="E57" s="17" t="s">
        <v>78</v>
      </c>
      <c r="F57" s="17" t="s">
        <v>78</v>
      </c>
      <c r="G57" s="17" t="s">
        <v>80</v>
      </c>
      <c r="H57" s="17" t="s">
        <v>81</v>
      </c>
      <c r="I57" s="17" t="s">
        <v>78</v>
      </c>
      <c r="J57" s="17" t="s">
        <v>78</v>
      </c>
      <c r="K57" s="17" t="s">
        <v>81</v>
      </c>
      <c r="L57" s="17" t="s">
        <v>78</v>
      </c>
      <c r="M57" s="17" t="s">
        <v>78</v>
      </c>
      <c r="N57" s="17" t="s">
        <v>81</v>
      </c>
      <c r="O57" s="17" t="s">
        <v>81</v>
      </c>
      <c r="P57" s="17" t="s">
        <v>81</v>
      </c>
      <c r="Q57" s="17" t="s">
        <v>78</v>
      </c>
      <c r="R57" s="17" t="s">
        <v>78</v>
      </c>
      <c r="S57" s="17" t="s">
        <v>81</v>
      </c>
      <c r="T57" s="17" t="s">
        <v>81</v>
      </c>
      <c r="U57" s="17" t="s">
        <v>81</v>
      </c>
      <c r="V57" s="17" t="s">
        <v>81</v>
      </c>
      <c r="W57" s="17" t="s">
        <v>81</v>
      </c>
      <c r="X57">
        <f t="shared" si="4"/>
        <v>8</v>
      </c>
      <c r="Y57">
        <f t="shared" si="5"/>
        <v>1</v>
      </c>
      <c r="Z57" s="7" t="s">
        <v>56</v>
      </c>
      <c r="AA57" s="7" t="str">
        <f t="shared" si="6"/>
        <v>No válido</v>
      </c>
      <c r="AB57" s="7" t="str">
        <f t="shared" si="7"/>
        <v>No válido</v>
      </c>
    </row>
    <row r="58" spans="1:28" x14ac:dyDescent="0.25">
      <c r="A58" t="s">
        <v>223</v>
      </c>
      <c r="B58" s="7" t="s">
        <v>139</v>
      </c>
      <c r="C58" s="10" t="s">
        <v>197</v>
      </c>
      <c r="D58" s="17" t="s">
        <v>81</v>
      </c>
      <c r="E58" s="17" t="s">
        <v>78</v>
      </c>
      <c r="F58" s="17" t="s">
        <v>81</v>
      </c>
      <c r="G58" s="17" t="s">
        <v>80</v>
      </c>
      <c r="H58" s="17" t="s">
        <v>81</v>
      </c>
      <c r="I58" s="17" t="s">
        <v>81</v>
      </c>
      <c r="J58" s="17" t="s">
        <v>78</v>
      </c>
      <c r="K58" s="17" t="s">
        <v>78</v>
      </c>
      <c r="L58" s="17" t="s">
        <v>81</v>
      </c>
      <c r="M58" s="17" t="s">
        <v>81</v>
      </c>
      <c r="N58" s="17" t="s">
        <v>81</v>
      </c>
      <c r="O58" s="17" t="s">
        <v>78</v>
      </c>
      <c r="P58" s="17" t="s">
        <v>81</v>
      </c>
      <c r="Q58" s="17" t="s">
        <v>81</v>
      </c>
      <c r="R58" s="17" t="s">
        <v>78</v>
      </c>
      <c r="S58" s="17" t="s">
        <v>81</v>
      </c>
      <c r="T58" s="17" t="s">
        <v>78</v>
      </c>
      <c r="U58" s="17" t="s">
        <v>78</v>
      </c>
      <c r="V58" s="17" t="s">
        <v>81</v>
      </c>
      <c r="W58" s="17" t="s">
        <v>81</v>
      </c>
      <c r="X58">
        <f t="shared" si="4"/>
        <v>4</v>
      </c>
      <c r="Y58">
        <f t="shared" si="5"/>
        <v>3</v>
      </c>
      <c r="Z58" s="7" t="s">
        <v>56</v>
      </c>
      <c r="AA58" s="7" t="str">
        <f t="shared" si="6"/>
        <v>No válido</v>
      </c>
      <c r="AB58" s="7" t="str">
        <f t="shared" si="7"/>
        <v>No válido</v>
      </c>
    </row>
    <row r="59" spans="1:28" x14ac:dyDescent="0.25">
      <c r="A59" t="s">
        <v>223</v>
      </c>
      <c r="B59" s="7" t="s">
        <v>140</v>
      </c>
      <c r="C59" t="s">
        <v>198</v>
      </c>
      <c r="D59" s="17" t="s">
        <v>81</v>
      </c>
      <c r="E59" s="17" t="s">
        <v>81</v>
      </c>
      <c r="F59" s="17" t="s">
        <v>81</v>
      </c>
      <c r="G59" s="17" t="s">
        <v>80</v>
      </c>
      <c r="H59" s="17" t="s">
        <v>81</v>
      </c>
      <c r="I59" s="17" t="s">
        <v>81</v>
      </c>
      <c r="J59" s="17" t="s">
        <v>78</v>
      </c>
      <c r="K59" s="17" t="s">
        <v>81</v>
      </c>
      <c r="L59" s="17" t="s">
        <v>81</v>
      </c>
      <c r="M59" s="17" t="s">
        <v>81</v>
      </c>
      <c r="N59" s="17" t="s">
        <v>81</v>
      </c>
      <c r="O59" s="17" t="s">
        <v>81</v>
      </c>
      <c r="P59" s="17" t="s">
        <v>81</v>
      </c>
      <c r="Q59" s="17" t="s">
        <v>81</v>
      </c>
      <c r="R59" s="17" t="s">
        <v>78</v>
      </c>
      <c r="S59" s="17" t="s">
        <v>81</v>
      </c>
      <c r="T59" s="17" t="s">
        <v>81</v>
      </c>
      <c r="U59" s="17" t="s">
        <v>81</v>
      </c>
      <c r="V59" s="17" t="s">
        <v>81</v>
      </c>
      <c r="W59" s="17" t="s">
        <v>81</v>
      </c>
      <c r="X59">
        <f t="shared" si="4"/>
        <v>1</v>
      </c>
      <c r="Y59">
        <f t="shared" si="5"/>
        <v>1</v>
      </c>
      <c r="Z59" s="7" t="s">
        <v>55</v>
      </c>
      <c r="AA59" s="7" t="str">
        <f t="shared" si="6"/>
        <v>AA</v>
      </c>
      <c r="AB59" s="7" t="str">
        <f t="shared" si="7"/>
        <v>AA</v>
      </c>
    </row>
    <row r="60" spans="1:28" x14ac:dyDescent="0.25">
      <c r="A60" t="s">
        <v>223</v>
      </c>
      <c r="B60" s="7" t="s">
        <v>142</v>
      </c>
      <c r="C60" s="10" t="s">
        <v>199</v>
      </c>
      <c r="D60" s="17" t="s">
        <v>81</v>
      </c>
      <c r="E60" s="17" t="s">
        <v>81</v>
      </c>
      <c r="F60" s="17" t="s">
        <v>78</v>
      </c>
      <c r="G60" s="17" t="s">
        <v>80</v>
      </c>
      <c r="H60" s="17" t="s">
        <v>78</v>
      </c>
      <c r="I60" s="17" t="s">
        <v>81</v>
      </c>
      <c r="J60" s="17" t="s">
        <v>78</v>
      </c>
      <c r="K60" s="17" t="s">
        <v>78</v>
      </c>
      <c r="L60" s="17" t="s">
        <v>78</v>
      </c>
      <c r="M60" s="17" t="s">
        <v>81</v>
      </c>
      <c r="N60" s="17" t="s">
        <v>78</v>
      </c>
      <c r="O60" s="17" t="s">
        <v>78</v>
      </c>
      <c r="P60" s="17" t="s">
        <v>81</v>
      </c>
      <c r="Q60" s="17" t="s">
        <v>78</v>
      </c>
      <c r="R60" s="17" t="s">
        <v>78</v>
      </c>
      <c r="S60" s="17" t="s">
        <v>81</v>
      </c>
      <c r="T60" s="17" t="s">
        <v>78</v>
      </c>
      <c r="U60" s="17" t="s">
        <v>81</v>
      </c>
      <c r="V60" s="17" t="s">
        <v>81</v>
      </c>
      <c r="W60" s="17" t="s">
        <v>78</v>
      </c>
      <c r="X60">
        <f t="shared" si="4"/>
        <v>8</v>
      </c>
      <c r="Y60">
        <f t="shared" si="5"/>
        <v>3</v>
      </c>
      <c r="Z60" s="7" t="s">
        <v>56</v>
      </c>
      <c r="AA60" s="7" t="str">
        <f t="shared" si="6"/>
        <v>No válido</v>
      </c>
      <c r="AB60" s="7" t="str">
        <f t="shared" si="7"/>
        <v>No válido</v>
      </c>
    </row>
    <row r="61" spans="1:28" x14ac:dyDescent="0.25">
      <c r="A61" t="s">
        <v>223</v>
      </c>
      <c r="B61" s="7" t="s">
        <v>143</v>
      </c>
      <c r="C61" t="s">
        <v>200</v>
      </c>
      <c r="D61" s="17" t="s">
        <v>81</v>
      </c>
      <c r="E61" s="17" t="s">
        <v>81</v>
      </c>
      <c r="F61" s="17" t="s">
        <v>81</v>
      </c>
      <c r="G61" s="17" t="s">
        <v>80</v>
      </c>
      <c r="H61" s="17" t="s">
        <v>81</v>
      </c>
      <c r="I61" s="17" t="s">
        <v>78</v>
      </c>
      <c r="J61" s="17" t="s">
        <v>78</v>
      </c>
      <c r="K61" s="17" t="s">
        <v>81</v>
      </c>
      <c r="L61" s="17" t="s">
        <v>78</v>
      </c>
      <c r="M61" s="17" t="s">
        <v>81</v>
      </c>
      <c r="N61" s="17" t="s">
        <v>81</v>
      </c>
      <c r="O61" s="17" t="s">
        <v>78</v>
      </c>
      <c r="P61" s="17" t="s">
        <v>81</v>
      </c>
      <c r="Q61" s="17" t="s">
        <v>81</v>
      </c>
      <c r="R61" s="17" t="s">
        <v>78</v>
      </c>
      <c r="S61" s="17" t="s">
        <v>81</v>
      </c>
      <c r="T61" s="17" t="s">
        <v>81</v>
      </c>
      <c r="U61" s="17" t="s">
        <v>81</v>
      </c>
      <c r="V61" s="17" t="s">
        <v>81</v>
      </c>
      <c r="W61" s="17" t="s">
        <v>81</v>
      </c>
      <c r="X61">
        <f t="shared" si="4"/>
        <v>4</v>
      </c>
      <c r="Y61">
        <f t="shared" si="5"/>
        <v>1</v>
      </c>
      <c r="Z61" s="7" t="s">
        <v>56</v>
      </c>
      <c r="AA61" s="7" t="str">
        <f t="shared" si="6"/>
        <v>No válido</v>
      </c>
      <c r="AB61" s="7" t="str">
        <f t="shared" si="7"/>
        <v>No válido</v>
      </c>
    </row>
    <row r="62" spans="1:28" x14ac:dyDescent="0.25">
      <c r="A62" t="s">
        <v>223</v>
      </c>
      <c r="B62" s="7" t="s">
        <v>145</v>
      </c>
      <c r="C62" s="10" t="s">
        <v>201</v>
      </c>
      <c r="D62" s="17" t="s">
        <v>81</v>
      </c>
      <c r="E62" s="17" t="s">
        <v>81</v>
      </c>
      <c r="F62" s="17" t="s">
        <v>81</v>
      </c>
      <c r="G62" s="17" t="s">
        <v>80</v>
      </c>
      <c r="H62" s="17" t="s">
        <v>81</v>
      </c>
      <c r="I62" s="17" t="s">
        <v>81</v>
      </c>
      <c r="J62" s="17" t="s">
        <v>78</v>
      </c>
      <c r="K62" s="17" t="s">
        <v>81</v>
      </c>
      <c r="L62" s="17" t="s">
        <v>81</v>
      </c>
      <c r="M62" s="17" t="s">
        <v>81</v>
      </c>
      <c r="N62" s="17" t="s">
        <v>81</v>
      </c>
      <c r="O62" s="17" t="s">
        <v>78</v>
      </c>
      <c r="P62" s="17" t="s">
        <v>81</v>
      </c>
      <c r="Q62" s="17" t="s">
        <v>81</v>
      </c>
      <c r="R62" s="17" t="s">
        <v>78</v>
      </c>
      <c r="S62" s="17" t="s">
        <v>81</v>
      </c>
      <c r="T62" s="17" t="s">
        <v>81</v>
      </c>
      <c r="U62" s="17" t="s">
        <v>81</v>
      </c>
      <c r="V62" s="17" t="s">
        <v>81</v>
      </c>
      <c r="W62" s="17" t="s">
        <v>81</v>
      </c>
      <c r="X62">
        <f t="shared" si="4"/>
        <v>2</v>
      </c>
      <c r="Y62">
        <f t="shared" si="5"/>
        <v>1</v>
      </c>
      <c r="Z62" s="7" t="s">
        <v>55</v>
      </c>
      <c r="AA62" s="7" t="str">
        <f t="shared" si="6"/>
        <v>AA</v>
      </c>
      <c r="AB62" s="7" t="str">
        <f t="shared" si="7"/>
        <v>AA</v>
      </c>
    </row>
    <row r="63" spans="1:28" x14ac:dyDescent="0.25">
      <c r="A63" t="s">
        <v>223</v>
      </c>
      <c r="B63" s="7" t="s">
        <v>147</v>
      </c>
      <c r="C63" t="s">
        <v>202</v>
      </c>
      <c r="D63" s="17" t="s">
        <v>81</v>
      </c>
      <c r="E63" s="17" t="s">
        <v>78</v>
      </c>
      <c r="F63" s="17" t="s">
        <v>81</v>
      </c>
      <c r="G63" s="17" t="s">
        <v>80</v>
      </c>
      <c r="H63" s="17" t="s">
        <v>81</v>
      </c>
      <c r="I63" s="17" t="s">
        <v>78</v>
      </c>
      <c r="J63" s="17" t="s">
        <v>78</v>
      </c>
      <c r="K63" s="17" t="s">
        <v>78</v>
      </c>
      <c r="L63" s="17" t="s">
        <v>81</v>
      </c>
      <c r="M63" s="17" t="s">
        <v>81</v>
      </c>
      <c r="N63" s="17" t="s">
        <v>81</v>
      </c>
      <c r="O63" s="17" t="s">
        <v>78</v>
      </c>
      <c r="P63" s="17" t="s">
        <v>81</v>
      </c>
      <c r="Q63" s="17" t="s">
        <v>78</v>
      </c>
      <c r="R63" s="17" t="s">
        <v>78</v>
      </c>
      <c r="S63" s="17" t="s">
        <v>78</v>
      </c>
      <c r="T63" s="17" t="s">
        <v>81</v>
      </c>
      <c r="U63" s="17" t="s">
        <v>81</v>
      </c>
      <c r="V63" s="17" t="s">
        <v>78</v>
      </c>
      <c r="W63" s="17" t="s">
        <v>81</v>
      </c>
      <c r="X63">
        <f t="shared" si="4"/>
        <v>6</v>
      </c>
      <c r="Y63">
        <f t="shared" si="5"/>
        <v>3</v>
      </c>
      <c r="Z63" s="7" t="s">
        <v>56</v>
      </c>
      <c r="AA63" s="7" t="str">
        <f t="shared" si="6"/>
        <v>No válido</v>
      </c>
      <c r="AB63" s="7" t="str">
        <f t="shared" si="7"/>
        <v>No válido</v>
      </c>
    </row>
    <row r="64" spans="1:28" x14ac:dyDescent="0.25">
      <c r="A64" t="s">
        <v>223</v>
      </c>
      <c r="B64" s="7" t="s">
        <v>149</v>
      </c>
      <c r="C64" s="10" t="s">
        <v>203</v>
      </c>
      <c r="D64" s="17" t="s">
        <v>81</v>
      </c>
      <c r="E64" s="17" t="s">
        <v>81</v>
      </c>
      <c r="F64" s="17" t="s">
        <v>81</v>
      </c>
      <c r="G64" s="17" t="s">
        <v>80</v>
      </c>
      <c r="H64" s="17" t="s">
        <v>81</v>
      </c>
      <c r="I64" s="17" t="s">
        <v>81</v>
      </c>
      <c r="J64" s="17" t="s">
        <v>78</v>
      </c>
      <c r="K64" s="17" t="s">
        <v>81</v>
      </c>
      <c r="L64" s="17" t="s">
        <v>81</v>
      </c>
      <c r="M64" s="17" t="s">
        <v>81</v>
      </c>
      <c r="N64" s="17" t="s">
        <v>81</v>
      </c>
      <c r="O64" s="17" t="s">
        <v>81</v>
      </c>
      <c r="P64" s="17" t="s">
        <v>81</v>
      </c>
      <c r="Q64" s="17" t="s">
        <v>81</v>
      </c>
      <c r="R64" s="17" t="s">
        <v>78</v>
      </c>
      <c r="S64" s="17" t="s">
        <v>81</v>
      </c>
      <c r="T64" s="17" t="s">
        <v>81</v>
      </c>
      <c r="U64" s="17" t="s">
        <v>81</v>
      </c>
      <c r="V64" s="17" t="s">
        <v>81</v>
      </c>
      <c r="W64" s="17" t="s">
        <v>81</v>
      </c>
      <c r="Z64" s="7" t="s">
        <v>55</v>
      </c>
      <c r="AA64" s="7" t="str">
        <f t="shared" si="6"/>
        <v>AA</v>
      </c>
      <c r="AB64" s="7" t="str">
        <f t="shared" si="7"/>
        <v>AA</v>
      </c>
    </row>
    <row r="65" spans="1:28" x14ac:dyDescent="0.25">
      <c r="A65" t="s">
        <v>223</v>
      </c>
      <c r="B65" s="7" t="s">
        <v>151</v>
      </c>
      <c r="C65" s="10" t="s">
        <v>204</v>
      </c>
      <c r="D65" s="17" t="s">
        <v>78</v>
      </c>
      <c r="E65" s="17" t="s">
        <v>78</v>
      </c>
      <c r="F65" s="17" t="s">
        <v>81</v>
      </c>
      <c r="G65" s="17" t="s">
        <v>78</v>
      </c>
      <c r="H65" s="17" t="s">
        <v>78</v>
      </c>
      <c r="I65" s="17" t="s">
        <v>81</v>
      </c>
      <c r="J65" s="17" t="s">
        <v>78</v>
      </c>
      <c r="K65" s="17" t="s">
        <v>81</v>
      </c>
      <c r="L65" s="17" t="s">
        <v>81</v>
      </c>
      <c r="M65" s="17" t="s">
        <v>81</v>
      </c>
      <c r="N65" s="17" t="s">
        <v>81</v>
      </c>
      <c r="O65" s="17" t="s">
        <v>78</v>
      </c>
      <c r="P65" s="17" t="s">
        <v>81</v>
      </c>
      <c r="Q65" s="17" t="s">
        <v>78</v>
      </c>
      <c r="R65" s="17" t="s">
        <v>78</v>
      </c>
      <c r="S65" s="17" t="s">
        <v>81</v>
      </c>
      <c r="T65" s="17" t="s">
        <v>81</v>
      </c>
      <c r="U65" s="17" t="s">
        <v>78</v>
      </c>
      <c r="V65" s="17" t="s">
        <v>81</v>
      </c>
      <c r="W65" s="17" t="s">
        <v>78</v>
      </c>
      <c r="X65" s="17">
        <f>COUNTIF(D65:Q65,"0 F")</f>
        <v>7</v>
      </c>
      <c r="Y65" s="17">
        <f>COUNTIF(R65:W65,"0 F")</f>
        <v>3</v>
      </c>
      <c r="Z65" s="7" t="s">
        <v>56</v>
      </c>
      <c r="AA65" s="7" t="str">
        <f t="shared" si="6"/>
        <v>No válido</v>
      </c>
      <c r="AB65" s="7" t="str">
        <f t="shared" si="7"/>
        <v>No válido</v>
      </c>
    </row>
    <row r="66" spans="1:28" x14ac:dyDescent="0.25">
      <c r="C66" s="2" t="s">
        <v>88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</row>
    <row r="67" spans="1:28" x14ac:dyDescent="0.25">
      <c r="C67" s="18" t="s">
        <v>81</v>
      </c>
      <c r="D67" s="7">
        <f t="shared" ref="D67:M70" si="8">COUNTIF(D$2:D$65,$C67)</f>
        <v>41</v>
      </c>
      <c r="E67" s="7">
        <f t="shared" si="8"/>
        <v>40</v>
      </c>
      <c r="F67" s="7">
        <f t="shared" si="8"/>
        <v>50</v>
      </c>
      <c r="G67" s="7">
        <f t="shared" si="8"/>
        <v>8</v>
      </c>
      <c r="H67" s="7">
        <f t="shared" si="8"/>
        <v>49</v>
      </c>
      <c r="I67" s="7">
        <f t="shared" si="8"/>
        <v>45</v>
      </c>
      <c r="J67" s="7">
        <f t="shared" si="8"/>
        <v>0</v>
      </c>
      <c r="K67" s="7">
        <f t="shared" si="8"/>
        <v>56</v>
      </c>
      <c r="L67" s="7">
        <f t="shared" si="8"/>
        <v>41</v>
      </c>
      <c r="M67" s="7">
        <f t="shared" si="8"/>
        <v>50</v>
      </c>
      <c r="N67" s="7">
        <f t="shared" ref="N67:W70" si="9">COUNTIF(N$2:N$65,$C67)</f>
        <v>51</v>
      </c>
      <c r="O67" s="7">
        <f t="shared" si="9"/>
        <v>25</v>
      </c>
      <c r="P67" s="7">
        <f t="shared" si="9"/>
        <v>63</v>
      </c>
      <c r="Q67" s="7">
        <f t="shared" si="9"/>
        <v>33</v>
      </c>
      <c r="R67" s="7">
        <f t="shared" si="9"/>
        <v>0</v>
      </c>
      <c r="S67" s="7">
        <f t="shared" si="9"/>
        <v>50</v>
      </c>
      <c r="T67" s="7">
        <f t="shared" si="9"/>
        <v>59</v>
      </c>
      <c r="U67" s="7">
        <f t="shared" si="9"/>
        <v>53</v>
      </c>
      <c r="V67" s="7">
        <f t="shared" si="9"/>
        <v>48</v>
      </c>
      <c r="W67" s="7">
        <f t="shared" si="9"/>
        <v>54</v>
      </c>
      <c r="X67" s="26" t="s">
        <v>61</v>
      </c>
      <c r="Y67" s="26"/>
      <c r="Z67" s="7">
        <f>COUNTIF(Tabla1[Nivel de adecuación estimado original],"AA")</f>
        <v>18</v>
      </c>
      <c r="AA67" s="7">
        <f>COUNTIF(Tabla1[Check original],"AA")</f>
        <v>18</v>
      </c>
      <c r="AB67" s="7">
        <f>COUNTIF(Tabla1[Nivel de adecuación estimado sin 1.7 y 2.1],"AA")</f>
        <v>29</v>
      </c>
    </row>
    <row r="68" spans="1:28" x14ac:dyDescent="0.25">
      <c r="C68" s="18" t="s">
        <v>80</v>
      </c>
      <c r="D68" s="7">
        <f t="shared" si="8"/>
        <v>1</v>
      </c>
      <c r="E68" s="7">
        <f t="shared" si="8"/>
        <v>0</v>
      </c>
      <c r="F68" s="7">
        <f t="shared" si="8"/>
        <v>0</v>
      </c>
      <c r="G68" s="7">
        <f t="shared" si="8"/>
        <v>53</v>
      </c>
      <c r="H68" s="7">
        <f t="shared" si="8"/>
        <v>0</v>
      </c>
      <c r="I68" s="7">
        <f t="shared" si="8"/>
        <v>0</v>
      </c>
      <c r="J68" s="7">
        <f t="shared" si="8"/>
        <v>0</v>
      </c>
      <c r="K68" s="7">
        <f t="shared" si="8"/>
        <v>0</v>
      </c>
      <c r="L68" s="7">
        <f t="shared" si="8"/>
        <v>9</v>
      </c>
      <c r="M68" s="7">
        <f t="shared" si="8"/>
        <v>9</v>
      </c>
      <c r="N68" s="7">
        <f t="shared" si="9"/>
        <v>0</v>
      </c>
      <c r="O68" s="7">
        <f t="shared" si="9"/>
        <v>1</v>
      </c>
      <c r="P68" s="7">
        <f t="shared" si="9"/>
        <v>0</v>
      </c>
      <c r="Q68" s="7">
        <f t="shared" si="9"/>
        <v>0</v>
      </c>
      <c r="R68" s="7">
        <f t="shared" si="9"/>
        <v>0</v>
      </c>
      <c r="S68" s="7">
        <f t="shared" si="9"/>
        <v>0</v>
      </c>
      <c r="T68" s="7">
        <f t="shared" si="9"/>
        <v>0</v>
      </c>
      <c r="U68" s="7">
        <f t="shared" si="9"/>
        <v>0</v>
      </c>
      <c r="V68" s="7">
        <f t="shared" si="9"/>
        <v>0</v>
      </c>
      <c r="W68" s="7">
        <f t="shared" si="9"/>
        <v>1</v>
      </c>
      <c r="X68" s="26" t="s">
        <v>62</v>
      </c>
      <c r="Y68" s="26"/>
      <c r="Z68" s="7">
        <f>COUNTIF(Tabla1[Nivel de adecuación estimado original],"A")</f>
        <v>2</v>
      </c>
      <c r="AA68" s="7">
        <f>COUNTIF(Tabla1[Check original],"A")</f>
        <v>2</v>
      </c>
      <c r="AB68" s="7">
        <f>COUNTIF(Tabla1[Nivel de adecuación estimado sin 1.7 y 2.1],"A")</f>
        <v>0</v>
      </c>
    </row>
    <row r="69" spans="1:28" x14ac:dyDescent="0.25">
      <c r="C69" s="18" t="s">
        <v>79</v>
      </c>
      <c r="D69" s="7">
        <f t="shared" si="8"/>
        <v>0</v>
      </c>
      <c r="E69" s="7">
        <f t="shared" si="8"/>
        <v>2</v>
      </c>
      <c r="F69" s="7">
        <f t="shared" si="8"/>
        <v>0</v>
      </c>
      <c r="G69" s="7">
        <f t="shared" si="8"/>
        <v>0</v>
      </c>
      <c r="H69" s="7">
        <f t="shared" si="8"/>
        <v>0</v>
      </c>
      <c r="I69" s="7">
        <f t="shared" si="8"/>
        <v>0</v>
      </c>
      <c r="J69" s="7">
        <f t="shared" si="8"/>
        <v>0</v>
      </c>
      <c r="K69" s="7">
        <f t="shared" si="8"/>
        <v>0</v>
      </c>
      <c r="L69" s="7">
        <f t="shared" si="8"/>
        <v>0</v>
      </c>
      <c r="M69" s="7">
        <f t="shared" si="8"/>
        <v>1</v>
      </c>
      <c r="N69" s="7">
        <f t="shared" si="9"/>
        <v>0</v>
      </c>
      <c r="O69" s="7">
        <f t="shared" si="9"/>
        <v>0</v>
      </c>
      <c r="P69" s="7">
        <f t="shared" si="9"/>
        <v>0</v>
      </c>
      <c r="Q69" s="7">
        <f t="shared" si="9"/>
        <v>0</v>
      </c>
      <c r="R69" s="7">
        <f t="shared" si="9"/>
        <v>0</v>
      </c>
      <c r="S69" s="7">
        <f t="shared" si="9"/>
        <v>0</v>
      </c>
      <c r="T69" s="7">
        <f t="shared" si="9"/>
        <v>0</v>
      </c>
      <c r="U69" s="7">
        <f t="shared" si="9"/>
        <v>0</v>
      </c>
      <c r="V69" s="7">
        <f t="shared" si="9"/>
        <v>0</v>
      </c>
      <c r="W69" s="7">
        <f t="shared" si="9"/>
        <v>0</v>
      </c>
      <c r="X69" s="26" t="s">
        <v>63</v>
      </c>
      <c r="Y69" s="26"/>
      <c r="Z69" s="7">
        <f>COUNTIF(Tabla1[Nivel de adecuación estimado original],"No Válido")</f>
        <v>44</v>
      </c>
      <c r="AA69" s="7">
        <f>COUNTIF(Tabla1[Check original],"No Válido")</f>
        <v>44</v>
      </c>
      <c r="AB69" s="7">
        <f>COUNTIF(Tabla1[Nivel de adecuación estimado sin 1.7 y 2.1],"No Válido")</f>
        <v>35</v>
      </c>
    </row>
    <row r="70" spans="1:28" x14ac:dyDescent="0.25">
      <c r="C70" s="18" t="s">
        <v>78</v>
      </c>
      <c r="D70" s="7">
        <f t="shared" si="8"/>
        <v>22</v>
      </c>
      <c r="E70" s="7">
        <f t="shared" si="8"/>
        <v>22</v>
      </c>
      <c r="F70" s="7">
        <f t="shared" si="8"/>
        <v>14</v>
      </c>
      <c r="G70" s="7">
        <f t="shared" si="8"/>
        <v>3</v>
      </c>
      <c r="H70" s="7">
        <f t="shared" si="8"/>
        <v>15</v>
      </c>
      <c r="I70" s="7">
        <f t="shared" si="8"/>
        <v>19</v>
      </c>
      <c r="J70" s="7">
        <f t="shared" si="8"/>
        <v>64</v>
      </c>
      <c r="K70" s="7">
        <f t="shared" si="8"/>
        <v>8</v>
      </c>
      <c r="L70" s="7">
        <f t="shared" si="8"/>
        <v>14</v>
      </c>
      <c r="M70" s="7">
        <f t="shared" si="8"/>
        <v>4</v>
      </c>
      <c r="N70" s="7">
        <f t="shared" si="9"/>
        <v>13</v>
      </c>
      <c r="O70" s="7">
        <f t="shared" si="9"/>
        <v>38</v>
      </c>
      <c r="P70" s="7">
        <f t="shared" si="9"/>
        <v>1</v>
      </c>
      <c r="Q70" s="7">
        <f t="shared" si="9"/>
        <v>31</v>
      </c>
      <c r="R70" s="7">
        <f t="shared" si="9"/>
        <v>64</v>
      </c>
      <c r="S70" s="7">
        <f t="shared" si="9"/>
        <v>14</v>
      </c>
      <c r="T70" s="7">
        <f t="shared" si="9"/>
        <v>5</v>
      </c>
      <c r="U70" s="7">
        <f t="shared" si="9"/>
        <v>11</v>
      </c>
      <c r="V70" s="7">
        <f t="shared" si="9"/>
        <v>16</v>
      </c>
      <c r="W70" s="7">
        <f t="shared" si="9"/>
        <v>9</v>
      </c>
      <c r="X70" s="26" t="s">
        <v>61</v>
      </c>
      <c r="Y70" s="26"/>
      <c r="Z70" s="21">
        <f>Z67/(Z$67+Z$68+Z$69)</f>
        <v>0.28125</v>
      </c>
      <c r="AA70" s="21">
        <f t="shared" ref="AA70:AB70" si="10">AA67/(AA$67+AA$68+AA$69)</f>
        <v>0.28125</v>
      </c>
      <c r="AB70" s="21">
        <f t="shared" si="10"/>
        <v>0.453125</v>
      </c>
    </row>
    <row r="71" spans="1:28" x14ac:dyDescent="0.25">
      <c r="C71" s="18" t="s">
        <v>50</v>
      </c>
      <c r="D71" s="7">
        <f>D70+D69+D68+D67</f>
        <v>64</v>
      </c>
      <c r="E71" s="7">
        <f t="shared" ref="E71:W71" si="11">E70+E69+E68+E67</f>
        <v>64</v>
      </c>
      <c r="F71" s="7">
        <f t="shared" si="11"/>
        <v>64</v>
      </c>
      <c r="G71" s="7">
        <f t="shared" si="11"/>
        <v>64</v>
      </c>
      <c r="H71" s="7">
        <f t="shared" si="11"/>
        <v>64</v>
      </c>
      <c r="I71" s="7">
        <f t="shared" si="11"/>
        <v>64</v>
      </c>
      <c r="J71" s="7">
        <f t="shared" si="11"/>
        <v>64</v>
      </c>
      <c r="K71" s="7">
        <f t="shared" si="11"/>
        <v>64</v>
      </c>
      <c r="L71" s="7">
        <f t="shared" si="11"/>
        <v>64</v>
      </c>
      <c r="M71" s="7">
        <f t="shared" si="11"/>
        <v>64</v>
      </c>
      <c r="N71" s="7">
        <f t="shared" si="11"/>
        <v>64</v>
      </c>
      <c r="O71" s="7">
        <f t="shared" si="11"/>
        <v>64</v>
      </c>
      <c r="P71" s="7">
        <f t="shared" si="11"/>
        <v>64</v>
      </c>
      <c r="Q71" s="7">
        <f t="shared" si="11"/>
        <v>64</v>
      </c>
      <c r="R71" s="7">
        <f t="shared" si="11"/>
        <v>64</v>
      </c>
      <c r="S71" s="7">
        <f t="shared" si="11"/>
        <v>64</v>
      </c>
      <c r="T71" s="7">
        <f t="shared" si="11"/>
        <v>64</v>
      </c>
      <c r="U71" s="7">
        <f t="shared" si="11"/>
        <v>64</v>
      </c>
      <c r="V71" s="7">
        <f t="shared" si="11"/>
        <v>64</v>
      </c>
      <c r="W71" s="7">
        <f t="shared" si="11"/>
        <v>64</v>
      </c>
      <c r="X71" s="26" t="s">
        <v>62</v>
      </c>
      <c r="Y71" s="26"/>
      <c r="Z71" s="21">
        <f t="shared" ref="Z71:AB72" si="12">Z68/(Z$67+Z$68+Z$69)</f>
        <v>3.125E-2</v>
      </c>
      <c r="AA71" s="21">
        <f t="shared" si="12"/>
        <v>3.125E-2</v>
      </c>
      <c r="AB71" s="21">
        <f t="shared" si="12"/>
        <v>0</v>
      </c>
    </row>
    <row r="72" spans="1:28" x14ac:dyDescent="0.25">
      <c r="C72" s="18" t="s">
        <v>89</v>
      </c>
      <c r="D72" s="7" t="str">
        <f>IF(OR(D71=D67,D71=D68,D71=D69,D71=D70),"Si","No")</f>
        <v>No</v>
      </c>
      <c r="E72" s="7" t="str">
        <f t="shared" ref="E72:W72" si="13">IF(OR(E71=E67,E71=E68,E71=E69,E71=E70),"Si","No")</f>
        <v>No</v>
      </c>
      <c r="F72" s="7" t="str">
        <f t="shared" si="13"/>
        <v>No</v>
      </c>
      <c r="G72" s="7" t="str">
        <f t="shared" si="13"/>
        <v>No</v>
      </c>
      <c r="H72" s="7" t="str">
        <f t="shared" si="13"/>
        <v>No</v>
      </c>
      <c r="I72" s="7" t="str">
        <f t="shared" si="13"/>
        <v>No</v>
      </c>
      <c r="J72" s="7" t="str">
        <f t="shared" si="13"/>
        <v>Si</v>
      </c>
      <c r="K72" s="7" t="str">
        <f t="shared" si="13"/>
        <v>No</v>
      </c>
      <c r="L72" s="7" t="str">
        <f t="shared" si="13"/>
        <v>No</v>
      </c>
      <c r="M72" s="7" t="str">
        <f t="shared" si="13"/>
        <v>No</v>
      </c>
      <c r="N72" s="7" t="str">
        <f t="shared" si="13"/>
        <v>No</v>
      </c>
      <c r="O72" s="7" t="str">
        <f t="shared" si="13"/>
        <v>No</v>
      </c>
      <c r="P72" s="7" t="str">
        <f t="shared" si="13"/>
        <v>No</v>
      </c>
      <c r="Q72" s="7" t="str">
        <f t="shared" si="13"/>
        <v>No</v>
      </c>
      <c r="R72" s="7" t="str">
        <f t="shared" si="13"/>
        <v>Si</v>
      </c>
      <c r="S72" s="7" t="str">
        <f t="shared" si="13"/>
        <v>No</v>
      </c>
      <c r="T72" s="7" t="str">
        <f t="shared" si="13"/>
        <v>No</v>
      </c>
      <c r="U72" s="7" t="str">
        <f t="shared" si="13"/>
        <v>No</v>
      </c>
      <c r="V72" s="7" t="str">
        <f t="shared" si="13"/>
        <v>No</v>
      </c>
      <c r="W72" s="7" t="str">
        <f t="shared" si="13"/>
        <v>No</v>
      </c>
      <c r="X72" s="26" t="s">
        <v>63</v>
      </c>
      <c r="Y72" s="26"/>
      <c r="Z72" s="21">
        <f t="shared" si="12"/>
        <v>0.6875</v>
      </c>
      <c r="AA72" s="21">
        <f t="shared" si="12"/>
        <v>0.6875</v>
      </c>
      <c r="AB72" s="21">
        <f t="shared" si="12"/>
        <v>0.546875</v>
      </c>
    </row>
  </sheetData>
  <mergeCells count="6">
    <mergeCell ref="X70:Y70"/>
    <mergeCell ref="X71:Y71"/>
    <mergeCell ref="X72:Y72"/>
    <mergeCell ref="X67:Y67"/>
    <mergeCell ref="X68:Y68"/>
    <mergeCell ref="X69:Y69"/>
  </mergeCells>
  <conditionalFormatting sqref="D72:W72">
    <cfRule type="containsText" dxfId="30" priority="2" operator="containsText" text="Si">
      <formula>NOT(ISERROR(SEARCH("Si",D72)))</formula>
    </cfRule>
  </conditionalFormatting>
  <conditionalFormatting sqref="D2:Y65">
    <cfRule type="containsText" dxfId="29" priority="1" operator="containsText" text="0 F">
      <formula>NOT(ISERROR(SEARCH("0 F",D2)))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3132C-5CFB-4122-A470-A2B8199ABA2C}">
  <dimension ref="A1:D7"/>
  <sheetViews>
    <sheetView workbookViewId="0">
      <selection activeCell="D7" sqref="D7"/>
    </sheetView>
  </sheetViews>
  <sheetFormatPr baseColWidth="10" defaultRowHeight="15" x14ac:dyDescent="0.25"/>
  <cols>
    <col min="1" max="1" width="7.42578125" bestFit="1" customWidth="1"/>
    <col min="2" max="2" width="8.7109375" bestFit="1" customWidth="1"/>
    <col min="3" max="4" width="20.7109375" customWidth="1"/>
  </cols>
  <sheetData>
    <row r="1" spans="1:4" ht="30" x14ac:dyDescent="0.25">
      <c r="A1" s="20" t="str">
        <f>'Cumplimiento indicadores'!X1</f>
        <v>Fallos Nivel A</v>
      </c>
      <c r="B1" s="20" t="str">
        <f>'Cumplimiento indicadores'!Y1</f>
        <v>Fallos Nivel AA</v>
      </c>
      <c r="C1" s="14" t="str">
        <f>'Cumplimiento indicadores'!Z1</f>
        <v>Nivel de adecuación estimado original</v>
      </c>
      <c r="D1" s="14" t="str">
        <f>'Cumplimiento indicadores'!AB1</f>
        <v>Nivel de adecuación estimado sin 1.7 y 2.1</v>
      </c>
    </row>
    <row r="2" spans="1:4" x14ac:dyDescent="0.25">
      <c r="A2" s="26" t="str">
        <f>'Cumplimiento indicadores'!X67</f>
        <v>Cumplen AA</v>
      </c>
      <c r="B2" s="26">
        <f>'Cumplimiento indicadores'!Y67</f>
        <v>0</v>
      </c>
      <c r="C2" s="7">
        <f>'Cumplimiento indicadores'!Z67</f>
        <v>18</v>
      </c>
      <c r="D2" s="7">
        <f>'Cumplimiento indicadores'!AB67</f>
        <v>29</v>
      </c>
    </row>
    <row r="3" spans="1:4" x14ac:dyDescent="0.25">
      <c r="A3" s="26" t="str">
        <f>'Cumplimiento indicadores'!X68</f>
        <v>Cumplen A</v>
      </c>
      <c r="B3" s="26">
        <f>'Cumplimiento indicadores'!Y68</f>
        <v>0</v>
      </c>
      <c r="C3" s="7">
        <f>'Cumplimiento indicadores'!Z68</f>
        <v>2</v>
      </c>
      <c r="D3" s="7">
        <f>'Cumplimiento indicadores'!AB68</f>
        <v>0</v>
      </c>
    </row>
    <row r="4" spans="1:4" x14ac:dyDescent="0.25">
      <c r="A4" s="26" t="str">
        <f>'Cumplimiento indicadores'!X69</f>
        <v>No válido</v>
      </c>
      <c r="B4" s="26">
        <f>'Cumplimiento indicadores'!Y69</f>
        <v>0</v>
      </c>
      <c r="C4" s="7">
        <f>'Cumplimiento indicadores'!Z69</f>
        <v>44</v>
      </c>
      <c r="D4" s="7">
        <f>'Cumplimiento indicadores'!AB69</f>
        <v>35</v>
      </c>
    </row>
    <row r="5" spans="1:4" x14ac:dyDescent="0.25">
      <c r="A5" s="26" t="str">
        <f>'Cumplimiento indicadores'!X70</f>
        <v>Cumplen AA</v>
      </c>
      <c r="B5" s="26">
        <f>'Cumplimiento indicadores'!Y70</f>
        <v>0</v>
      </c>
      <c r="C5" s="21">
        <f>'Cumplimiento indicadores'!Z70</f>
        <v>0.28125</v>
      </c>
      <c r="D5" s="22">
        <f>'Cumplimiento indicadores'!AB70</f>
        <v>0.453125</v>
      </c>
    </row>
    <row r="6" spans="1:4" x14ac:dyDescent="0.25">
      <c r="A6" s="26" t="str">
        <f>'Cumplimiento indicadores'!X71</f>
        <v>Cumplen A</v>
      </c>
      <c r="B6" s="26">
        <f>'Cumplimiento indicadores'!Y71</f>
        <v>0</v>
      </c>
      <c r="C6" s="21">
        <f>'Cumplimiento indicadores'!Z71</f>
        <v>3.125E-2</v>
      </c>
      <c r="D6" s="23">
        <f>'Cumplimiento indicadores'!AB71</f>
        <v>0</v>
      </c>
    </row>
    <row r="7" spans="1:4" x14ac:dyDescent="0.25">
      <c r="A7" s="26" t="str">
        <f>'Cumplimiento indicadores'!X72</f>
        <v>No válido</v>
      </c>
      <c r="B7" s="26">
        <f>'Cumplimiento indicadores'!Y72</f>
        <v>0</v>
      </c>
      <c r="C7" s="21">
        <f>'Cumplimiento indicadores'!Z72</f>
        <v>0.6875</v>
      </c>
      <c r="D7" s="24">
        <f>'Cumplimiento indicadores'!AB72</f>
        <v>0.546875</v>
      </c>
    </row>
  </sheetData>
  <mergeCells count="6">
    <mergeCell ref="A7:B7"/>
    <mergeCell ref="A2:B2"/>
    <mergeCell ref="A3:B3"/>
    <mergeCell ref="A4:B4"/>
    <mergeCell ref="A5:B5"/>
    <mergeCell ref="A6:B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8040c94-aeaa-4678-bedd-de5f5a504ed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190F015AC98D84EA2ABF37B7F7EEE93" ma:contentTypeVersion="1" ma:contentTypeDescription="Crear nuevo documento." ma:contentTypeScope="" ma:versionID="90a4380a6bf21a2e46a4e1d8e4217c9d">
  <xsd:schema xmlns:xsd="http://www.w3.org/2001/XMLSchema" xmlns:xs="http://www.w3.org/2001/XMLSchema" xmlns:p="http://schemas.microsoft.com/office/2006/metadata/properties" xmlns:ns3="c8040c94-aeaa-4678-bedd-de5f5a504ed4" targetNamespace="http://schemas.microsoft.com/office/2006/metadata/properties" ma:root="true" ma:fieldsID="da717d900314d84980455103438096be" ns3:_="">
    <xsd:import namespace="c8040c94-aeaa-4678-bedd-de5f5a504ed4"/>
    <xsd:element name="properties">
      <xsd:complexType>
        <xsd:sequence>
          <xsd:element name="documentManagement">
            <xsd:complexType>
              <xsd:all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040c94-aeaa-4678-bedd-de5f5a504ed4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56E68-BC28-48AC-ADBF-9FAB93BA3B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97C506-A363-4693-9714-B5C0AD0A92B2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c8040c94-aeaa-4678-bedd-de5f5a504ed4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A43F0DC-5119-4D27-9568-B80833B127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040c94-aeaa-4678-bedd-de5f5a504e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readme</vt:lpstr>
      <vt:lpstr>Muestra final</vt:lpstr>
      <vt:lpstr>Resumen informes sin tratar</vt:lpstr>
      <vt:lpstr>Cumplimiento indicadores</vt:lpstr>
      <vt:lpstr>Resumen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ALVAR HERRERO ALONSO</dc:creator>
  <cp:lastModifiedBy>JAVIER ALVAR HERRERO ALONSO</cp:lastModifiedBy>
  <dcterms:created xsi:type="dcterms:W3CDTF">2023-07-26T20:14:02Z</dcterms:created>
  <dcterms:modified xsi:type="dcterms:W3CDTF">2023-11-15T00:25:57Z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0x0101004190F015AC98D84EA2ABF37B7F7EEE93</vt:lpwstr>
  </property>
</Properties>
</file>