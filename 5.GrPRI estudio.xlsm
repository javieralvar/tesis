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D:\UVa\Mis estudios\Comparativa webs\2023-11\"/>
    </mc:Choice>
  </mc:AlternateContent>
  <xr:revisionPtr revIDLastSave="0" documentId="13_ncr:1_{83FFD599-2BF9-41DE-BC52-AE3ECBF1B9F9}" xr6:coauthVersionLast="47" xr6:coauthVersionMax="47" xr10:uidLastSave="{00000000-0000-0000-0000-000000000000}"/>
  <bookViews>
    <workbookView xWindow="-19320" yWindow="-120" windowWidth="19440" windowHeight="15000" xr2:uid="{8042E711-C3BE-4DF7-9191-CAC09ABE09A2}"/>
  </bookViews>
  <sheets>
    <sheet name="readme" sheetId="10" r:id="rId1"/>
    <sheet name="Muestra final" sheetId="11" r:id="rId2"/>
    <sheet name="Resumen informes sin tratar" sheetId="12" r:id="rId3"/>
    <sheet name="Cumplimiento indicadores" sheetId="13" r:id="rId4"/>
    <sheet name="Resumen final" sheetId="15" r:id="rId5"/>
  </sheets>
  <definedNames>
    <definedName name="_xlnm._FilterDatabase" localSheetId="1" hidden="1">'Muestra final'!$A$7:$E$81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15" l="1"/>
  <c r="G3" i="15"/>
  <c r="G2" i="15"/>
  <c r="F3" i="15"/>
  <c r="F4" i="15"/>
  <c r="F2" i="15"/>
  <c r="C4" i="15"/>
  <c r="C3" i="15"/>
  <c r="C2" i="15"/>
  <c r="B4" i="15"/>
  <c r="B3" i="15"/>
  <c r="B2" i="15"/>
  <c r="AB2" i="13"/>
  <c r="B6" i="15" l="1"/>
  <c r="C6" i="15"/>
  <c r="C7" i="15"/>
  <c r="B7" i="15"/>
  <c r="B5" i="15"/>
  <c r="C5" i="15"/>
  <c r="AB3" i="13" l="1"/>
  <c r="AB4" i="13"/>
  <c r="AB5" i="13"/>
  <c r="AB6" i="13"/>
  <c r="AB7" i="13"/>
  <c r="AB8" i="13"/>
  <c r="AB9" i="13"/>
  <c r="AB10" i="13"/>
  <c r="AB11" i="13"/>
  <c r="AB12" i="13"/>
  <c r="AB13" i="13"/>
  <c r="AB14" i="13"/>
  <c r="AB15" i="13"/>
  <c r="AB16" i="13"/>
  <c r="AB17" i="13"/>
  <c r="AB18" i="13"/>
  <c r="AB19" i="13"/>
  <c r="AB20" i="13"/>
  <c r="AB21" i="13"/>
  <c r="AB22" i="13"/>
  <c r="AB23" i="13"/>
  <c r="AB24" i="13"/>
  <c r="AB25" i="13"/>
  <c r="AB26" i="13"/>
  <c r="AB27" i="13"/>
  <c r="AB28" i="13"/>
  <c r="AB29" i="13"/>
  <c r="AB30" i="13"/>
  <c r="AB31" i="13"/>
  <c r="AB32" i="13"/>
  <c r="AB33" i="13"/>
  <c r="AB34" i="13"/>
  <c r="AB35" i="13"/>
  <c r="AB36" i="13"/>
  <c r="AB37" i="13"/>
  <c r="AB38" i="13"/>
  <c r="AB39" i="13"/>
  <c r="AB40" i="13"/>
  <c r="AB41" i="13"/>
  <c r="AB42" i="13"/>
  <c r="AB43" i="13"/>
  <c r="AB44" i="13"/>
  <c r="AB45" i="13"/>
  <c r="AB46" i="13"/>
  <c r="AB47" i="13"/>
  <c r="AB48" i="13"/>
  <c r="AB49" i="13"/>
  <c r="AB50" i="13"/>
  <c r="AB51" i="13"/>
  <c r="AB52" i="13"/>
  <c r="AB53" i="13"/>
  <c r="AB54" i="13"/>
  <c r="AB55" i="13"/>
  <c r="AB56" i="13"/>
  <c r="AB57" i="13"/>
  <c r="AB58" i="13"/>
  <c r="AB59" i="13"/>
  <c r="AB60" i="13"/>
  <c r="AB61" i="13"/>
  <c r="AB62" i="13"/>
  <c r="AB63" i="13"/>
  <c r="AB64" i="13"/>
  <c r="AB65" i="13"/>
  <c r="AA2" i="13"/>
  <c r="AA65" i="13"/>
  <c r="AA64" i="13"/>
  <c r="AA63" i="13"/>
  <c r="AA62" i="13"/>
  <c r="AA61" i="13"/>
  <c r="AA60" i="13"/>
  <c r="AA59" i="13"/>
  <c r="AA58" i="13"/>
  <c r="AA57" i="13"/>
  <c r="AA56" i="13"/>
  <c r="AA55" i="13"/>
  <c r="AA54" i="13"/>
  <c r="AA53" i="13"/>
  <c r="AA52" i="13"/>
  <c r="AA51" i="13"/>
  <c r="AA50" i="13"/>
  <c r="AA49" i="13"/>
  <c r="AA48" i="13"/>
  <c r="AA47" i="13"/>
  <c r="AA46" i="13"/>
  <c r="AA45" i="13"/>
  <c r="AA44" i="13"/>
  <c r="AA43" i="13"/>
  <c r="AA42" i="13"/>
  <c r="AA41" i="13"/>
  <c r="AA40" i="13"/>
  <c r="AA39" i="13"/>
  <c r="AA38" i="13"/>
  <c r="AA37" i="13"/>
  <c r="AA36" i="13"/>
  <c r="AA35" i="13"/>
  <c r="AA34" i="13"/>
  <c r="AA33" i="13"/>
  <c r="AA32" i="13"/>
  <c r="AA31" i="13"/>
  <c r="AA30" i="13"/>
  <c r="AA29" i="13"/>
  <c r="AA28" i="13"/>
  <c r="AA27" i="13"/>
  <c r="AA26" i="13"/>
  <c r="AA25" i="13"/>
  <c r="AA24" i="13"/>
  <c r="AA23" i="13"/>
  <c r="AA22" i="13"/>
  <c r="AA21" i="13"/>
  <c r="AA20" i="13"/>
  <c r="AA19" i="13"/>
  <c r="AA18" i="13"/>
  <c r="AA17" i="13"/>
  <c r="AA16" i="13"/>
  <c r="AA15" i="13"/>
  <c r="AA14" i="13"/>
  <c r="AA13" i="13"/>
  <c r="AA12" i="13"/>
  <c r="AA11" i="13"/>
  <c r="AA10" i="13"/>
  <c r="AA9" i="13"/>
  <c r="AA8" i="13"/>
  <c r="AA7" i="13"/>
  <c r="AA6" i="13"/>
  <c r="AA5" i="13"/>
  <c r="AA4" i="13"/>
  <c r="AA3" i="13"/>
  <c r="H1" i="12"/>
  <c r="AA69" i="13" l="1"/>
  <c r="AA68" i="13"/>
  <c r="AA67" i="13"/>
  <c r="AB68" i="13"/>
  <c r="AB69" i="13"/>
  <c r="AB67" i="13"/>
  <c r="X2" i="13"/>
  <c r="X3" i="13"/>
  <c r="X4" i="13"/>
  <c r="X5" i="13"/>
  <c r="X6" i="13"/>
  <c r="X7" i="13"/>
  <c r="X8" i="13"/>
  <c r="X9" i="13"/>
  <c r="X10" i="13"/>
  <c r="X11" i="13"/>
  <c r="X12" i="13"/>
  <c r="X13" i="13"/>
  <c r="X14" i="13"/>
  <c r="X15" i="13"/>
  <c r="X16" i="13"/>
  <c r="X17" i="13"/>
  <c r="X18" i="13"/>
  <c r="X19" i="13"/>
  <c r="X20" i="13"/>
  <c r="X21" i="13"/>
  <c r="X22" i="13"/>
  <c r="X23" i="13"/>
  <c r="X24" i="13"/>
  <c r="X25" i="13"/>
  <c r="X26" i="13"/>
  <c r="X27" i="13"/>
  <c r="X28" i="13"/>
  <c r="X29" i="13"/>
  <c r="X30" i="13"/>
  <c r="X31" i="13"/>
  <c r="X32" i="13"/>
  <c r="X33" i="13"/>
  <c r="X34" i="13"/>
  <c r="X35" i="13"/>
  <c r="X36" i="13"/>
  <c r="X37" i="13"/>
  <c r="X38" i="13"/>
  <c r="X39" i="13"/>
  <c r="X40" i="13"/>
  <c r="X41" i="13"/>
  <c r="X42" i="13"/>
  <c r="X43" i="13"/>
  <c r="X44" i="13"/>
  <c r="X45" i="13"/>
  <c r="X46" i="13"/>
  <c r="X47" i="13"/>
  <c r="X48" i="13"/>
  <c r="X49" i="13"/>
  <c r="X50" i="13"/>
  <c r="X51" i="13"/>
  <c r="X52" i="13"/>
  <c r="X53" i="13"/>
  <c r="X54" i="13"/>
  <c r="X55" i="13"/>
  <c r="X56" i="13"/>
  <c r="X57" i="13"/>
  <c r="X58" i="13"/>
  <c r="X59" i="13"/>
  <c r="X60" i="13"/>
  <c r="X61" i="13"/>
  <c r="X62" i="13"/>
  <c r="X63" i="13"/>
  <c r="X64" i="13"/>
  <c r="X65" i="13"/>
  <c r="Y2" i="13"/>
  <c r="Y3" i="13"/>
  <c r="Y4" i="13"/>
  <c r="Y5" i="13"/>
  <c r="Y6" i="13"/>
  <c r="Y7" i="13"/>
  <c r="Y8" i="13"/>
  <c r="Y9" i="13"/>
  <c r="Y10" i="13"/>
  <c r="Y11" i="13"/>
  <c r="Y12" i="13"/>
  <c r="Y13" i="13"/>
  <c r="Y14" i="13"/>
  <c r="Y15" i="13"/>
  <c r="Y16" i="13"/>
  <c r="Y17" i="13"/>
  <c r="Y18" i="13"/>
  <c r="Y19" i="13"/>
  <c r="Y20" i="13"/>
  <c r="Y21" i="13"/>
  <c r="Y22" i="13"/>
  <c r="Y23" i="13"/>
  <c r="Y24" i="13"/>
  <c r="Y25" i="13"/>
  <c r="Y26" i="13"/>
  <c r="Y27" i="13"/>
  <c r="Y28" i="13"/>
  <c r="Y29" i="13"/>
  <c r="Y30" i="13"/>
  <c r="Y31" i="13"/>
  <c r="Y32" i="13"/>
  <c r="Y33" i="13"/>
  <c r="Y34" i="13"/>
  <c r="Y35" i="13"/>
  <c r="Y36" i="13"/>
  <c r="Y37" i="13"/>
  <c r="Y38" i="13"/>
  <c r="Y39" i="13"/>
  <c r="Y40" i="13"/>
  <c r="Y41" i="13"/>
  <c r="Y42" i="13"/>
  <c r="Y43" i="13"/>
  <c r="Y44" i="13"/>
  <c r="Y45" i="13"/>
  <c r="Y46" i="13"/>
  <c r="Y47" i="13"/>
  <c r="Y48" i="13"/>
  <c r="Y49" i="13"/>
  <c r="Y50" i="13"/>
  <c r="Y51" i="13"/>
  <c r="Y52" i="13"/>
  <c r="Y53" i="13"/>
  <c r="Y54" i="13"/>
  <c r="Y55" i="13"/>
  <c r="Y56" i="13"/>
  <c r="Y57" i="13"/>
  <c r="Y58" i="13"/>
  <c r="Y59" i="13"/>
  <c r="Y60" i="13"/>
  <c r="Y61" i="13"/>
  <c r="Y62" i="13"/>
  <c r="Y63" i="13"/>
  <c r="Y64" i="13"/>
  <c r="Y65" i="13"/>
  <c r="AE64" i="13" l="1"/>
  <c r="AD64" i="13"/>
  <c r="AD65" i="13"/>
  <c r="E67" i="13"/>
  <c r="F67" i="13"/>
  <c r="G67" i="13"/>
  <c r="H67" i="13"/>
  <c r="I67" i="13"/>
  <c r="J67" i="13"/>
  <c r="K67" i="13"/>
  <c r="L67" i="13"/>
  <c r="M67" i="13"/>
  <c r="N67" i="13"/>
  <c r="O67" i="13"/>
  <c r="P67" i="13"/>
  <c r="Q67" i="13"/>
  <c r="R67" i="13"/>
  <c r="S67" i="13"/>
  <c r="T67" i="13"/>
  <c r="U67" i="13"/>
  <c r="V67" i="13"/>
  <c r="W67" i="13"/>
  <c r="E68" i="13"/>
  <c r="F68" i="13"/>
  <c r="G68" i="13"/>
  <c r="H68" i="13"/>
  <c r="I68" i="13"/>
  <c r="J68" i="13"/>
  <c r="K68" i="13"/>
  <c r="L68" i="13"/>
  <c r="M68" i="13"/>
  <c r="N68" i="13"/>
  <c r="O68" i="13"/>
  <c r="P68" i="13"/>
  <c r="Q68" i="13"/>
  <c r="R68" i="13"/>
  <c r="S68" i="13"/>
  <c r="T68" i="13"/>
  <c r="U68" i="13"/>
  <c r="V68" i="13"/>
  <c r="W68" i="13"/>
  <c r="E69" i="13"/>
  <c r="F69" i="13"/>
  <c r="G69" i="13"/>
  <c r="H69" i="13"/>
  <c r="I69" i="13"/>
  <c r="J69" i="13"/>
  <c r="K69" i="13"/>
  <c r="L69" i="13"/>
  <c r="M69" i="13"/>
  <c r="N69" i="13"/>
  <c r="O69" i="13"/>
  <c r="P69" i="13"/>
  <c r="Q69" i="13"/>
  <c r="R69" i="13"/>
  <c r="S69" i="13"/>
  <c r="T69" i="13"/>
  <c r="U69" i="13"/>
  <c r="V69" i="13"/>
  <c r="W69" i="13"/>
  <c r="E70" i="13"/>
  <c r="F70" i="13"/>
  <c r="G70" i="13"/>
  <c r="H70" i="13"/>
  <c r="I70" i="13"/>
  <c r="J70" i="13"/>
  <c r="K70" i="13"/>
  <c r="L70" i="13"/>
  <c r="M70" i="13"/>
  <c r="N70" i="13"/>
  <c r="O70" i="13"/>
  <c r="P70" i="13"/>
  <c r="Q70" i="13"/>
  <c r="R70" i="13"/>
  <c r="S70" i="13"/>
  <c r="T70" i="13"/>
  <c r="U70" i="13"/>
  <c r="V70" i="13"/>
  <c r="W70" i="13"/>
  <c r="D68" i="13"/>
  <c r="D69" i="13"/>
  <c r="D70" i="13"/>
  <c r="D67" i="13"/>
  <c r="AD3" i="13"/>
  <c r="AD4" i="13"/>
  <c r="AD5" i="13"/>
  <c r="AD6" i="13"/>
  <c r="AD8" i="13"/>
  <c r="AD10" i="13"/>
  <c r="AD11" i="13"/>
  <c r="AD13" i="13"/>
  <c r="AD14" i="13"/>
  <c r="AD18" i="13"/>
  <c r="AD19" i="13"/>
  <c r="AD21" i="13"/>
  <c r="AD23" i="13"/>
  <c r="AD24" i="13"/>
  <c r="AD28" i="13"/>
  <c r="AD29" i="13"/>
  <c r="AD32" i="13"/>
  <c r="AD33" i="13"/>
  <c r="AD2" i="13"/>
  <c r="H7" i="12"/>
  <c r="H6" i="12"/>
  <c r="H5" i="12"/>
  <c r="H4" i="12"/>
  <c r="H3" i="12"/>
  <c r="H2" i="12"/>
  <c r="AD51" i="13" l="1"/>
  <c r="AE65" i="13"/>
  <c r="AD53" i="13"/>
  <c r="AD52" i="13"/>
  <c r="AD50" i="13"/>
  <c r="AD55" i="13"/>
  <c r="AE50" i="13"/>
  <c r="AD56" i="13"/>
  <c r="AE51" i="13"/>
  <c r="AE52" i="13"/>
  <c r="AD59" i="13"/>
  <c r="AD58" i="13"/>
  <c r="AD54" i="13"/>
  <c r="AE53" i="13"/>
  <c r="AE54" i="13"/>
  <c r="AE55" i="13"/>
  <c r="AD57" i="13"/>
  <c r="AE56" i="13"/>
  <c r="AE57" i="13"/>
  <c r="AD62" i="13"/>
  <c r="AE59" i="13"/>
  <c r="AE58" i="13"/>
  <c r="AD61" i="13"/>
  <c r="AD60" i="13"/>
  <c r="AD35" i="13"/>
  <c r="AE60" i="13"/>
  <c r="AD34" i="13"/>
  <c r="AE61" i="13"/>
  <c r="AE62" i="13"/>
  <c r="AE34" i="13"/>
  <c r="AD41" i="13"/>
  <c r="AD40" i="13"/>
  <c r="AD38" i="13"/>
  <c r="AD37" i="13"/>
  <c r="AD36" i="13"/>
  <c r="AE35" i="13"/>
  <c r="AD39" i="13"/>
  <c r="AE36" i="13"/>
  <c r="AD43" i="13"/>
  <c r="AE37" i="13"/>
  <c r="AD42" i="13"/>
  <c r="AE39" i="13"/>
  <c r="AE38" i="13"/>
  <c r="AD46" i="13"/>
  <c r="AE40" i="13"/>
  <c r="AE41" i="13"/>
  <c r="AD45" i="13"/>
  <c r="AE42" i="13"/>
  <c r="AD48" i="13"/>
  <c r="AD44" i="13"/>
  <c r="AE43" i="13"/>
  <c r="AE44" i="13"/>
  <c r="AE45" i="13"/>
  <c r="AD47" i="13"/>
  <c r="AE46" i="13"/>
  <c r="AE47" i="13"/>
  <c r="AD63" i="13"/>
  <c r="AD49" i="13"/>
  <c r="AE48" i="13"/>
  <c r="AE49" i="13"/>
  <c r="AE63" i="13"/>
  <c r="AD30" i="13"/>
  <c r="AD20" i="13"/>
  <c r="AD17" i="13"/>
  <c r="AD27" i="13"/>
  <c r="AD7" i="13"/>
  <c r="AD31" i="13"/>
  <c r="AD15" i="13"/>
  <c r="AD9" i="13"/>
  <c r="AD16" i="13"/>
  <c r="AD26" i="13"/>
  <c r="AD12" i="13"/>
  <c r="AE32" i="13"/>
  <c r="AE31" i="13"/>
  <c r="AE18" i="13"/>
  <c r="AE16" i="13"/>
  <c r="AE15" i="13"/>
  <c r="G71" i="13"/>
  <c r="G72" i="13" s="1"/>
  <c r="AE33" i="13"/>
  <c r="AE17" i="13"/>
  <c r="AD25" i="13"/>
  <c r="AE30" i="13"/>
  <c r="AE14" i="13"/>
  <c r="AE29" i="13"/>
  <c r="AE13" i="13"/>
  <c r="AE28" i="13"/>
  <c r="AE12" i="13"/>
  <c r="AD22" i="13"/>
  <c r="AE27" i="13"/>
  <c r="AE11" i="13"/>
  <c r="AE26" i="13"/>
  <c r="AE10" i="13"/>
  <c r="AE25" i="13"/>
  <c r="AE9" i="13"/>
  <c r="AE24" i="13"/>
  <c r="AE8" i="13"/>
  <c r="AE23" i="13"/>
  <c r="AE7" i="13"/>
  <c r="AE2" i="13"/>
  <c r="AE22" i="13"/>
  <c r="AE6" i="13"/>
  <c r="AE21" i="13"/>
  <c r="AE5" i="13"/>
  <c r="AE20" i="13"/>
  <c r="AE4" i="13"/>
  <c r="AE19" i="13"/>
  <c r="AE3" i="13"/>
  <c r="S71" i="13"/>
  <c r="S72" i="13" s="1"/>
  <c r="H71" i="13"/>
  <c r="H72" i="13" s="1"/>
  <c r="E71" i="13"/>
  <c r="E72" i="13" s="1"/>
  <c r="F71" i="13"/>
  <c r="F72" i="13" s="1"/>
  <c r="I71" i="13"/>
  <c r="I72" i="13" s="1"/>
  <c r="L71" i="13"/>
  <c r="L72" i="13" s="1"/>
  <c r="Q71" i="13"/>
  <c r="Q72" i="13" s="1"/>
  <c r="O71" i="13"/>
  <c r="O72" i="13" s="1"/>
  <c r="R71" i="13"/>
  <c r="M71" i="13"/>
  <c r="M72" i="13" s="1"/>
  <c r="J71" i="13"/>
  <c r="J72" i="13" s="1"/>
  <c r="T71" i="13"/>
  <c r="T72" i="13" s="1"/>
  <c r="W71" i="13"/>
  <c r="W72" i="13" s="1"/>
  <c r="P71" i="13"/>
  <c r="P72" i="13" s="1"/>
  <c r="N71" i="13"/>
  <c r="N72" i="13" s="1"/>
  <c r="V71" i="13"/>
  <c r="V72" i="13" s="1"/>
  <c r="U71" i="13"/>
  <c r="U72" i="13" s="1"/>
  <c r="K71" i="13"/>
  <c r="K72" i="13" s="1"/>
  <c r="D71" i="13"/>
  <c r="AD68" i="13" l="1"/>
  <c r="AD67" i="13"/>
  <c r="AD69" i="13"/>
  <c r="AE68" i="13"/>
  <c r="AE69" i="13"/>
  <c r="AE67" i="13"/>
  <c r="R72" i="13"/>
  <c r="D72" i="13"/>
</calcChain>
</file>

<file path=xl/sharedStrings.xml><?xml version="1.0" encoding="utf-8"?>
<sst xmlns="http://schemas.openxmlformats.org/spreadsheetml/2006/main" count="2170" uniqueCount="193">
  <si>
    <t>Muestra seleccionada</t>
  </si>
  <si>
    <t>Ok</t>
  </si>
  <si>
    <t>error</t>
  </si>
  <si>
    <t>Procedimiento:</t>
  </si>
  <si>
    <t>-</t>
  </si>
  <si>
    <t>Total</t>
  </si>
  <si>
    <t>Muestra final</t>
  </si>
  <si>
    <t>URL</t>
  </si>
  <si>
    <t>Nivel de adecuación estimado</t>
  </si>
  <si>
    <t>AA</t>
  </si>
  <si>
    <t>No Válido</t>
  </si>
  <si>
    <t>A</t>
  </si>
  <si>
    <t>Media:</t>
  </si>
  <si>
    <t>Máx</t>
  </si>
  <si>
    <t>Mín</t>
  </si>
  <si>
    <t>Cumplen AA</t>
  </si>
  <si>
    <t>Cumplen A</t>
  </si>
  <si>
    <t>No válido</t>
  </si>
  <si>
    <t>1.1</t>
  </si>
  <si>
    <t>1.2</t>
  </si>
  <si>
    <t>1.3</t>
  </si>
  <si>
    <t>1.4</t>
  </si>
  <si>
    <t>1.5</t>
  </si>
  <si>
    <t>1.6</t>
  </si>
  <si>
    <t>1.7</t>
  </si>
  <si>
    <t>1.8</t>
  </si>
  <si>
    <t>1.9</t>
  </si>
  <si>
    <t>1.10</t>
  </si>
  <si>
    <t>1.11</t>
  </si>
  <si>
    <t>1.12</t>
  </si>
  <si>
    <t>1.13</t>
  </si>
  <si>
    <t>1.14</t>
  </si>
  <si>
    <t>0 F</t>
  </si>
  <si>
    <t>0.5 P</t>
  </si>
  <si>
    <t>- P</t>
  </si>
  <si>
    <t>1 P</t>
  </si>
  <si>
    <t>2.1</t>
  </si>
  <si>
    <t>2.2</t>
  </si>
  <si>
    <t>2.3</t>
  </si>
  <si>
    <t>2.4</t>
  </si>
  <si>
    <t>2.5</t>
  </si>
  <si>
    <t>2.6</t>
  </si>
  <si>
    <t>Totales</t>
  </si>
  <si>
    <t>¿Unanimidad?</t>
  </si>
  <si>
    <t>Nivel de adecuación estimado original</t>
  </si>
  <si>
    <t>Fallos Nivel A</t>
  </si>
  <si>
    <t>Fallos Nivel AA</t>
  </si>
  <si>
    <t>Nivel de adecuación estimado sin 1.7 y 2.1</t>
  </si>
  <si>
    <t>Página</t>
  </si>
  <si>
    <t>Página 1</t>
  </si>
  <si>
    <t>Página 2</t>
  </si>
  <si>
    <t>Página 3</t>
  </si>
  <si>
    <t>Página 4</t>
  </si>
  <si>
    <t>Página 5</t>
  </si>
  <si>
    <t>Página 6</t>
  </si>
  <si>
    <t>Página 7</t>
  </si>
  <si>
    <t>Página 8</t>
  </si>
  <si>
    <t>Página 9</t>
  </si>
  <si>
    <t>Página 10</t>
  </si>
  <si>
    <t>Página 11</t>
  </si>
  <si>
    <t>Página 12</t>
  </si>
  <si>
    <t>Página 13</t>
  </si>
  <si>
    <t>Página 14</t>
  </si>
  <si>
    <t>Página 15</t>
  </si>
  <si>
    <t>Página 16</t>
  </si>
  <si>
    <t>Página 17</t>
  </si>
  <si>
    <t>Página 18</t>
  </si>
  <si>
    <t>Página 19</t>
  </si>
  <si>
    <t>Página 20</t>
  </si>
  <si>
    <t>Página 21</t>
  </si>
  <si>
    <t>Página 22</t>
  </si>
  <si>
    <t>Página 23</t>
  </si>
  <si>
    <t>Página 24</t>
  </si>
  <si>
    <t>Página 25</t>
  </si>
  <si>
    <t>Página 26</t>
  </si>
  <si>
    <t>Página 27</t>
  </si>
  <si>
    <t>Página 28</t>
  </si>
  <si>
    <t>Página 29</t>
  </si>
  <si>
    <t>Página 30</t>
  </si>
  <si>
    <t>Página 31</t>
  </si>
  <si>
    <t>Página 32</t>
  </si>
  <si>
    <t>Puntuación Media</t>
  </si>
  <si>
    <t>Explicación de cada pestaña</t>
  </si>
  <si>
    <t>Archivo</t>
  </si>
  <si>
    <t>https://enjucavi.com</t>
  </si>
  <si>
    <t>https://www.disolbcn.cat</t>
  </si>
  <si>
    <t>https://turullsorensen.com</t>
  </si>
  <si>
    <t>https://www.laperladejavea.com</t>
  </si>
  <si>
    <t>https://toormix.com</t>
  </si>
  <si>
    <t>https://herramientaprofesional.serverdinamica.com</t>
  </si>
  <si>
    <t>https://randallcoffee.com</t>
  </si>
  <si>
    <t>https://baydal.es</t>
  </si>
  <si>
    <t>https://agenciaeventosmadrid.com</t>
  </si>
  <si>
    <t>https://martimoreno.com</t>
  </si>
  <si>
    <t>https://cafeenvena.com</t>
  </si>
  <si>
    <t>https://ntcbeltec.com</t>
  </si>
  <si>
    <t>https://estrategiaurbanavlc2030.es</t>
  </si>
  <si>
    <t>https://casimirocanonico.com</t>
  </si>
  <si>
    <t>https://naturalfire.es</t>
  </si>
  <si>
    <t>https://www.intertoro.com</t>
  </si>
  <si>
    <t>https://olivarerahinojosa.com</t>
  </si>
  <si>
    <t>https://dairemar.es</t>
  </si>
  <si>
    <t>https://www.citypisos.com</t>
  </si>
  <si>
    <t>https://soleygoita.com</t>
  </si>
  <si>
    <t>https://texlarenovables.com</t>
  </si>
  <si>
    <t>https://elvillar-bilar.eus</t>
  </si>
  <si>
    <t>https://soldaduraspamplona.com</t>
  </si>
  <si>
    <t>https://todo-fiesta.com</t>
  </si>
  <si>
    <t>https://www.obbocare.com</t>
  </si>
  <si>
    <t>https://www.despiertaymira.com</t>
  </si>
  <si>
    <t>https://www.improset.es</t>
  </si>
  <si>
    <t>https://www.mielbosquesdeltorio.com</t>
  </si>
  <si>
    <t>https://www.jamonia.com</t>
  </si>
  <si>
    <t>https://www.grupocdm.es</t>
  </si>
  <si>
    <t>https://mallasfortema.com</t>
  </si>
  <si>
    <t>https://makarthy.com</t>
  </si>
  <si>
    <t>https://mobelplus.com</t>
  </si>
  <si>
    <t>https://paletsjmartorell.com</t>
  </si>
  <si>
    <t>https://www.ideatec.es</t>
  </si>
  <si>
    <t>https://ong-aida.org</t>
  </si>
  <si>
    <t>https://deforhome.com</t>
  </si>
  <si>
    <t>https://genomcore.com</t>
  </si>
  <si>
    <t>https://bgc.cat</t>
  </si>
  <si>
    <t>https://sportingclubdetenis.com</t>
  </si>
  <si>
    <t>https://inbani.com</t>
  </si>
  <si>
    <t>https://cifppolitecnicodemurcia.es</t>
  </si>
  <si>
    <t>https://yelarsan.es</t>
  </si>
  <si>
    <t>https://www.bodegasterradart.com</t>
  </si>
  <si>
    <t>https://www.edicionesdelserbal.com</t>
  </si>
  <si>
    <t>https://lilaflicka.com</t>
  </si>
  <si>
    <t>https://aicmartinezmedina.com</t>
  </si>
  <si>
    <t>https://aspor.es</t>
  </si>
  <si>
    <t>https://www.tecnomallas.com</t>
  </si>
  <si>
    <t>https://www.diagnosisdermatologica.com</t>
  </si>
  <si>
    <t>https://epicosaludmental.com</t>
  </si>
  <si>
    <t>https://www.maill.cat</t>
  </si>
  <si>
    <t>https://asecord.es</t>
  </si>
  <si>
    <t>https://jklmotos.com</t>
  </si>
  <si>
    <t>https://www.necfe.es</t>
  </si>
  <si>
    <t>https://eloxal.es</t>
  </si>
  <si>
    <t>https://maderasrodriguez.com</t>
  </si>
  <si>
    <t>https://balneaburgos.es</t>
  </si>
  <si>
    <t>https://www.ovidiarader.com</t>
  </si>
  <si>
    <t>https://oligofastx.com</t>
  </si>
  <si>
    <t>https://almerishisha.com</t>
  </si>
  <si>
    <t>https://calsalut.com</t>
  </si>
  <si>
    <t>https://newsterpan.com</t>
  </si>
  <si>
    <t>https://iesarcareal.es</t>
  </si>
  <si>
    <t>https://www.popularlibros.com</t>
  </si>
  <si>
    <t>https://cardiologia-ciudad-real.es</t>
  </si>
  <si>
    <t>https://www.jlclures.com</t>
  </si>
  <si>
    <t>https://www.fisela.net</t>
  </si>
  <si>
    <t>https://politecnicoestella.educacion.navarra.es</t>
  </si>
  <si>
    <t>https://www.lamexicana.es</t>
  </si>
  <si>
    <t>https://www.anait.es</t>
  </si>
  <si>
    <t>https://iesdaroca.catedu.es</t>
  </si>
  <si>
    <t>https://www.taxi-rincon.es</t>
  </si>
  <si>
    <t>https://www.aluminiosalaez.es</t>
  </si>
  <si>
    <t>https://www.disolbcn.cat/es</t>
  </si>
  <si>
    <t>https://elvillar-bilar.eus/index.php/es/</t>
  </si>
  <si>
    <t>4.0 GrPRI 1-37</t>
  </si>
  <si>
    <t>4.0 GrPRI 38-74</t>
  </si>
  <si>
    <t>https://bgc.com.es/</t>
  </si>
  <si>
    <t>https://www.ovidiarader.com/ca/inici</t>
  </si>
  <si>
    <t>4.1 GrPRI 15</t>
  </si>
  <si>
    <t>Nº webs:</t>
  </si>
  <si>
    <t>Puntuación Media original</t>
  </si>
  <si>
    <t>Check Nivel ad. Original</t>
  </si>
  <si>
    <t>Puntuación Media sin 1.7 y 2.1</t>
  </si>
  <si>
    <t>Máx:</t>
  </si>
  <si>
    <t>Mín:</t>
  </si>
  <si>
    <t>Cumplen AA:</t>
  </si>
  <si>
    <t>Cumplen A:</t>
  </si>
  <si>
    <t>No válido:</t>
  </si>
  <si>
    <t>Check Puntuación Media original</t>
  </si>
  <si>
    <t>Listado de las URLs obtenidas en el proceso anterior y la reducción de dicho listado a URLs que acepta Rastreador OAW</t>
  </si>
  <si>
    <t>Resumen informes sin tratar</t>
  </si>
  <si>
    <t xml:space="preserve">En esta pestaña están los resultados obtenidos en los diferentes análisis realizados con ROAW sin alterar ni analizar </t>
  </si>
  <si>
    <t>Cumplimiento indicadores</t>
  </si>
  <si>
    <t>En esta pestaña están las tablas obtenidas de los resultados del ROAW para los 20 criterios analizados. Con ellos se ha realizado lo siguiente:</t>
  </si>
  <si>
    <t xml:space="preserve"> - Añadir la Puntuación Media y el Nivel de adecuación estimado original de los informes del ROAW (que se encuentran en la pestaña anterior)</t>
  </si>
  <si>
    <t xml:space="preserve"> - Añadir dos columnas de validación (Check Puntuación Media original y Check Nivel ad. Original) de los valores anteriores para comprobar que la fórmula que se cita en la metodología del Rastreador OAW conincide con los valores obtenidos</t>
  </si>
  <si>
    <t xml:space="preserve"> - Columna Puntuación Media sin 1.7 y 2.1 en la que se recalcula la puntuación media sin tener en cuenta los criterios del lenguaje (1.7 y 2.1) según la fórmula utilizada en la metodología del ROAW para obtener la puntuación media.</t>
  </si>
  <si>
    <t xml:space="preserve"> - Columna Nivel de adecuación estimado sin 1.7 y 2.1 en la que se recalcula el nivel de adecuación sin tener en cuenta los criterios del lenguaje (1.7 y 2.1) según la fórmula utilizada en la metodología del ROAW para obtener el nivel de adecuación estimado.</t>
  </si>
  <si>
    <t>Resumen final</t>
  </si>
  <si>
    <t xml:space="preserve">En esta pestaña los datos a modo resumen obtenidos de la pestaña anterior </t>
  </si>
  <si>
    <t>1. Inicialmente se divide la muestra en dos gurpos de 37 páginas.</t>
  </si>
  <si>
    <t>2. En la columna 1er informe se marcan las URLs que no han dado problemas (OK) y las que no ha detectado el Rastreador OAW (error)</t>
  </si>
  <si>
    <t xml:space="preserve">3. En la columna 2º informe se vuelven a pasar las URLs que habían dado error por si alguna funciona al volver a intentarlo. Estas URLs SÓLO se tendrán en cuenta para el estudio en caso de necesitar completar la muestra para trabajar con muestras con la misma cantidad de URLs </t>
  </si>
  <si>
    <t>4. En la columna Muestra final está el listado de URLs que ha sido aceptada en alguno de los informes por el Rastreador OAW (puede diferir de la URL inicial, pero redirigen al mismo sitio)</t>
  </si>
  <si>
    <t>1er informe</t>
  </si>
  <si>
    <t>2º informe</t>
  </si>
  <si>
    <t xml:space="preserve"> - En la parte inferior de la tabla, se ha realizado unas comprobaciones en las que se puede observar que los criterios 1.7 y 2.1 siempre dan como valor 0 F (en el caso del 2.1 62 de 64 veces), pero tras comprobaciones manuales, se observa que estos criterios (ambos relacionados con el idioma de la página) no funcionan adecuadamente. Por este motivo se ha decidido eliminarlos para obtener las conclusiones de este estudio. Para ello se crean las siguientes columnas: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</si>
</sst>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9" formatCode="0.0"/>
  </numFmts>
  <fonts count="7" x14ac:knownFonts="1">
    <font>
      <sz val="11"/>
      <color theme="1"/>
      <name val="Calibri"/>
      <family val="2"/>
      <scheme val="minor"/>
    </font>
    <font>
      <b/>
      <sz val="11"/>
      <color theme="1"/>
      <name val="Calibri"/>
      <family val="2"/>
      <scheme val="minor"/>
    </font>
    <font>
      <b/>
      <sz val="11"/>
      <color theme="0"/>
      <name val="Calibri"/>
      <family val="2"/>
      <scheme val="minor"/>
    </font>
    <font>
      <sz val="12"/>
      <color theme="1"/>
      <name val="Calibri"/>
      <family val="2"/>
      <scheme val="minor"/>
    </font>
    <font>
      <b/>
      <sz val="12"/>
      <color theme="1"/>
      <name val="Calibri"/>
      <family val="2"/>
      <scheme val="minor"/>
    </font>
    <font>
      <sz val="11"/>
      <color theme="1"/>
      <name val="Calibri"/>
      <family val="2"/>
      <scheme val="minor"/>
    </font>
    <font>
      <sz val="8"/>
      <name val="Calibri"/>
      <family val="2"/>
      <scheme val="minor"/>
    </font>
  </fonts>
  <fills count="8">
    <fill>
      <patternFill patternType="none"/>
    </fill>
    <fill>
      <patternFill patternType="gray125"/>
    </fill>
    <fill>
      <patternFill patternType="solid">
        <fgColor theme="1"/>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FF0000"/>
        <bgColor indexed="64"/>
      </patternFill>
    </fill>
    <fill>
      <patternFill patternType="solid">
        <fgColor theme="0" tint="-0.14999847407452621"/>
        <bgColor theme="0" tint="-0.14999847407452621"/>
      </patternFill>
    </fill>
    <fill>
      <patternFill patternType="solid">
        <fgColor theme="1"/>
        <bgColor theme="0" tint="-0.14999847407452621"/>
      </patternFill>
    </fill>
  </fills>
  <borders count="2">
    <border>
      <left/>
      <right/>
      <top/>
      <bottom/>
      <diagonal/>
    </border>
    <border>
      <left style="thin">
        <color theme="1"/>
      </left>
      <right style="thin">
        <color theme="1"/>
      </right>
      <top style="thin">
        <color theme="1"/>
      </top>
      <bottom style="thin">
        <color theme="1"/>
      </bottom>
      <diagonal/>
    </border>
  </borders>
  <cellStyleXfs count="2">
    <xf numFmtId="0" fontId="0" fillId="0" borderId="0"/>
    <xf numFmtId="9" fontId="5" fillId="0" borderId="0" applyFont="0" applyFill="0" applyBorder="0" applyAlignment="0" applyProtection="0"/>
  </cellStyleXfs>
  <cellXfs count="39">
    <xf numFmtId="0" fontId="0" fillId="0" borderId="0" xfId="0"/>
    <xf numFmtId="0" fontId="1" fillId="0" borderId="0" xfId="0" applyFont="1"/>
    <xf numFmtId="0" fontId="2" fillId="2" borderId="0" xfId="0" applyFont="1" applyFill="1"/>
    <xf numFmtId="0" fontId="0" fillId="0" borderId="0" xfId="0" applyAlignment="1">
      <alignment wrapText="1"/>
    </xf>
    <xf numFmtId="0" fontId="3" fillId="0" borderId="0" xfId="0" applyFont="1" applyAlignment="1">
      <alignment wrapText="1"/>
    </xf>
    <xf numFmtId="0" fontId="0" fillId="0" borderId="0" xfId="0" applyAlignment="1">
      <alignment horizontal="left" wrapText="1" indent="3"/>
    </xf>
    <xf numFmtId="0" fontId="0" fillId="0" borderId="0" xfId="0" applyAlignment="1">
      <alignment horizontal="center"/>
    </xf>
    <xf numFmtId="0" fontId="1" fillId="0" borderId="0" xfId="0" applyFont="1" applyAlignment="1">
      <alignment horizontal="center"/>
    </xf>
    <xf numFmtId="0" fontId="0" fillId="0" borderId="0" xfId="0" quotePrefix="1" applyAlignment="1">
      <alignment horizontal="center"/>
    </xf>
    <xf numFmtId="0" fontId="0" fillId="0" borderId="0" xfId="0" applyAlignment="1">
      <alignment horizontal="left"/>
    </xf>
    <xf numFmtId="0" fontId="1" fillId="0" borderId="0" xfId="0" applyFont="1" applyAlignment="1">
      <alignment horizontal="left"/>
    </xf>
    <xf numFmtId="0" fontId="0" fillId="0" borderId="0" xfId="0" applyAlignment="1">
      <alignment vertical="center"/>
    </xf>
    <xf numFmtId="0" fontId="1" fillId="0" borderId="0" xfId="0" applyFont="1" applyAlignment="1">
      <alignment horizontal="center" vertical="center"/>
    </xf>
    <xf numFmtId="0" fontId="1" fillId="0" borderId="0" xfId="0" applyFont="1" applyAlignment="1">
      <alignment horizontal="center" vertical="center" wrapText="1"/>
    </xf>
    <xf numFmtId="2" fontId="2" fillId="2" borderId="0" xfId="0" applyNumberFormat="1" applyFont="1" applyFill="1"/>
    <xf numFmtId="10" fontId="2" fillId="2" borderId="0" xfId="1" applyNumberFormat="1" applyFont="1" applyFill="1"/>
    <xf numFmtId="49" fontId="0" fillId="0" borderId="0" xfId="0" applyNumberFormat="1" applyAlignment="1">
      <alignment horizontal="center"/>
    </xf>
    <xf numFmtId="0" fontId="2" fillId="2" borderId="0" xfId="0" applyFont="1" applyFill="1" applyAlignment="1">
      <alignment horizontal="right"/>
    </xf>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9" fontId="0" fillId="0" borderId="0" xfId="1" applyFont="1" applyAlignment="1">
      <alignment horizontal="center"/>
    </xf>
    <xf numFmtId="9" fontId="1" fillId="3" borderId="0" xfId="1" applyFont="1" applyFill="1" applyAlignment="1">
      <alignment horizontal="center"/>
    </xf>
    <xf numFmtId="9" fontId="1" fillId="4" borderId="0" xfId="1" applyFont="1" applyFill="1" applyAlignment="1">
      <alignment horizontal="center"/>
    </xf>
    <xf numFmtId="9" fontId="1" fillId="5" borderId="0" xfId="1" applyFont="1" applyFill="1" applyAlignment="1">
      <alignment horizontal="center"/>
    </xf>
    <xf numFmtId="0" fontId="0" fillId="0" borderId="0" xfId="0" applyAlignment="1">
      <alignment horizontal="center" vertical="center"/>
    </xf>
    <xf numFmtId="0" fontId="4" fillId="0" borderId="0" xfId="0" applyFont="1" applyAlignment="1">
      <alignment horizontal="left" wrapText="1"/>
    </xf>
    <xf numFmtId="1" fontId="0" fillId="0" borderId="0" xfId="0" applyNumberFormat="1" applyAlignment="1">
      <alignment horizontal="center"/>
    </xf>
    <xf numFmtId="169" fontId="0" fillId="0" borderId="0" xfId="0" applyNumberFormat="1" applyAlignment="1">
      <alignment horizontal="center"/>
    </xf>
    <xf numFmtId="169" fontId="0" fillId="0" borderId="1" xfId="0" applyNumberFormat="1" applyFont="1" applyBorder="1" applyAlignment="1">
      <alignment horizontal="center"/>
    </xf>
    <xf numFmtId="169" fontId="0" fillId="6" borderId="1" xfId="0" applyNumberFormat="1" applyFont="1" applyFill="1" applyBorder="1" applyAlignment="1">
      <alignment horizontal="center"/>
    </xf>
    <xf numFmtId="0" fontId="2" fillId="7" borderId="1" xfId="0" applyFont="1" applyFill="1" applyBorder="1" applyAlignment="1">
      <alignment horizontal="center"/>
    </xf>
    <xf numFmtId="0" fontId="2" fillId="2" borderId="1" xfId="0" applyFont="1" applyFill="1" applyBorder="1" applyAlignment="1">
      <alignment horizontal="center"/>
    </xf>
    <xf numFmtId="1" fontId="0" fillId="6" borderId="1" xfId="0" applyNumberFormat="1" applyFont="1" applyFill="1" applyBorder="1" applyAlignment="1">
      <alignment horizontal="center"/>
    </xf>
    <xf numFmtId="1" fontId="0" fillId="0" borderId="1" xfId="0" applyNumberFormat="1" applyFont="1" applyBorder="1" applyAlignment="1">
      <alignment horizontal="center"/>
    </xf>
    <xf numFmtId="0" fontId="2" fillId="7" borderId="1" xfId="0" applyFont="1" applyFill="1" applyBorder="1" applyAlignment="1">
      <alignment horizontal="center" wrapText="1"/>
    </xf>
    <xf numFmtId="169" fontId="0" fillId="6" borderId="1" xfId="0" applyNumberFormat="1" applyFill="1" applyBorder="1" applyAlignment="1">
      <alignment horizontal="center"/>
    </xf>
    <xf numFmtId="169" fontId="0" fillId="0" borderId="1" xfId="0" applyNumberFormat="1" applyBorder="1" applyAlignment="1">
      <alignment horizontal="center"/>
    </xf>
    <xf numFmtId="0" fontId="1" fillId="0" borderId="0" xfId="0" applyFont="1" applyAlignment="1">
      <alignment wrapText="1"/>
    </xf>
    <xf numFmtId="0" fontId="3" fillId="0" borderId="0" xfId="0" quotePrefix="1" applyFont="1" applyAlignment="1">
      <alignment horizontal="left" wrapText="1" indent="4"/>
    </xf>
  </cellXfs>
  <cellStyles count="2">
    <cellStyle name="Normal" xfId="0" builtinId="0"/>
    <cellStyle name="Porcentaje" xfId="1" builtinId="5"/>
  </cellStyles>
  <dxfs count="6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69"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9" formatCode="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30" formatCode="@"/>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012A8C0-392A-4390-AFCB-83BB45E9FA3A}" name="Tabla1" displayName="Tabla1" ref="A1:AE65" totalsRowShown="0" headerRowDxfId="63" dataDxfId="62">
  <tableColumns count="31">
    <tableColumn id="1" xr3:uid="{1BCF8DDE-840F-4292-9BCD-5BD0AA3545EB}" name="Archivo"/>
    <tableColumn id="2" xr3:uid="{09ED8B61-C367-4A36-B4BD-C7D57D2602AA}" name="Página" dataDxfId="61"/>
    <tableColumn id="3" xr3:uid="{349B6571-6A1D-4A5E-85EB-FC98F0ECB0EC}" name="URL" dataDxfId="60"/>
    <tableColumn id="4" xr3:uid="{3618C7DE-F5AA-476C-A99D-E0E39D2AD375}" name="1.1" dataDxfId="59"/>
    <tableColumn id="5" xr3:uid="{121331E5-6BFC-424E-BE4F-7D4AC9B2672F}" name="1.2" dataDxfId="58"/>
    <tableColumn id="6" xr3:uid="{8322FD87-96A9-4572-86A5-8A2148CC7F98}" name="1.3" dataDxfId="57"/>
    <tableColumn id="7" xr3:uid="{5FD55EEA-8464-4F5A-A8F6-5EC27B66ADBF}" name="1.4" dataDxfId="56"/>
    <tableColumn id="8" xr3:uid="{DA05C496-856E-445E-ABC3-7F8B93A2A4CB}" name="1.5" dataDxfId="55"/>
    <tableColumn id="9" xr3:uid="{46E400CD-4205-4A75-993F-2A5DEE7C7D87}" name="1.6" dataDxfId="54"/>
    <tableColumn id="10" xr3:uid="{FC70842D-C2F8-4DAC-93A0-DFB413A714A4}" name="1.7" dataDxfId="53"/>
    <tableColumn id="11" xr3:uid="{08E6A049-CC6B-422D-B0FB-B6D0FE062731}" name="1.8" dataDxfId="52"/>
    <tableColumn id="12" xr3:uid="{AD1483B4-FA4F-427E-B1AA-1A6A2216424F}" name="1.9" dataDxfId="51"/>
    <tableColumn id="13" xr3:uid="{2D12C6B3-C5A0-4C69-8AFA-ECCA6FC0C90F}" name="1.10" dataDxfId="50"/>
    <tableColumn id="14" xr3:uid="{779361FE-747C-46DD-8EBF-2B9A9F16910A}" name="1.11" dataDxfId="49"/>
    <tableColumn id="15" xr3:uid="{15178251-FF0A-40C1-9DB8-F091094AAB4A}" name="1.12" dataDxfId="48"/>
    <tableColumn id="16" xr3:uid="{13518CF5-1646-414D-93EC-D08C989142CF}" name="1.13" dataDxfId="47"/>
    <tableColumn id="17" xr3:uid="{B9B823C2-7BD3-4AF9-B9FA-B43E7E5C856C}" name="1.14" dataDxfId="46"/>
    <tableColumn id="18" xr3:uid="{20D3E5E5-C691-4EA6-BB77-8C8270DB727D}" name="2.1" dataDxfId="45"/>
    <tableColumn id="19" xr3:uid="{2B3834AD-828F-4BB0-BB54-0B91828C2C61}" name="2.2" dataDxfId="44"/>
    <tableColumn id="20" xr3:uid="{306D15DC-309A-441E-B769-3E55C82B0B8E}" name="2.3" dataDxfId="43"/>
    <tableColumn id="21" xr3:uid="{90E4FDF7-B59E-424C-8C04-400665FF7DFD}" name="2.4" dataDxfId="42"/>
    <tableColumn id="22" xr3:uid="{24AB28FC-7EB6-4F23-B99D-CD67F1994BB7}" name="2.5" dataDxfId="41"/>
    <tableColumn id="23" xr3:uid="{E3A4AB47-BA00-4781-8796-F5EB97B82A2F}" name="2.6" dataDxfId="40"/>
    <tableColumn id="25" xr3:uid="{73781365-F2B5-4AFD-8438-E80205495BF3}" name="Fallos Nivel A" dataDxfId="39">
      <calculatedColumnFormula>COUNTIF(D2:Q2,"0 F")</calculatedColumnFormula>
    </tableColumn>
    <tableColumn id="26" xr3:uid="{D7220465-A800-43CF-99C3-7FAC54ED99A2}" name="Fallos Nivel AA" dataDxfId="38">
      <calculatedColumnFormula>COUNTIF(R2:W2,"0 F")</calculatedColumnFormula>
    </tableColumn>
    <tableColumn id="30" xr3:uid="{C24B5B1F-6CAB-4DCA-A810-E2417AB46B51}" name="Puntuación Media original" dataDxfId="35"/>
    <tableColumn id="32" xr3:uid="{6475CE24-7203-4B5A-BF7B-F54FE8A59329}" name="Check Puntuación Media original" dataDxfId="34">
      <calculatedColumnFormula>10*(COUNTIF(Tabla1[[#This Row],[1.1]:[2.6]],"1 P")+0.5*COUNTIF(Tabla1[[#This Row],[1.1]:[2.6]],"0.5 "))/(COUNTIF(Tabla1[[#This Row],[1.1]:[2.6]],"1 P")+COUNTIF(Tabla1[[#This Row],[1.1]:[2.6]],"0 F")+COUNTIF(Tabla1[[#This Row],[1.1]:[2.6]],"0.5 P"))</calculatedColumnFormula>
    </tableColumn>
    <tableColumn id="33" xr3:uid="{59681A35-6540-49D6-921A-81DBA400F122}" name="Puntuación Media sin 1.7 y 2.1" dataDxfId="32">
      <calculatedColumnFormula>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calculatedColumnFormula>
    </tableColumn>
    <tableColumn id="24" xr3:uid="{0CC337CB-05E2-445D-B8ED-BC755C162D92}" name="Nivel de adecuación estimado original" dataDxfId="33"/>
    <tableColumn id="27" xr3:uid="{E9706E02-BD85-4127-99D0-302725DBDE52}" name="Check Nivel ad. Original" dataDxfId="37">
      <calculatedColumnFormula>IF(X2&gt;2,"No válido",IF(Y2&lt;3,"AA","A"))</calculatedColumnFormula>
    </tableColumn>
    <tableColumn id="28" xr3:uid="{73505DB1-87CD-49D7-B7B1-BF37B78F8723}" name="Nivel de adecuación estimado sin 1.7 y 2.1" dataDxfId="36">
      <calculatedColumnFormula>IF(X2&gt;3,"No válido",IF(Y2&lt;4,"AA","A"))</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B681E-EA3E-42BE-99BE-3262AC5CEEAA}">
  <sheetPr codeName="Hoja1">
    <tabColor theme="8"/>
  </sheetPr>
  <dimension ref="A2:B25"/>
  <sheetViews>
    <sheetView tabSelected="1" workbookViewId="0"/>
  </sheetViews>
  <sheetFormatPr baseColWidth="10" defaultRowHeight="15" x14ac:dyDescent="0.25"/>
  <cols>
    <col min="2" max="2" width="113" style="3" customWidth="1"/>
  </cols>
  <sheetData>
    <row r="2" spans="1:2" ht="15.75" x14ac:dyDescent="0.25">
      <c r="A2" s="25" t="s">
        <v>82</v>
      </c>
      <c r="B2" s="25"/>
    </row>
    <row r="3" spans="1:2" x14ac:dyDescent="0.25">
      <c r="B3" s="37" t="s">
        <v>6</v>
      </c>
    </row>
    <row r="4" spans="1:2" x14ac:dyDescent="0.25">
      <c r="B4" s="5" t="s">
        <v>175</v>
      </c>
    </row>
    <row r="5" spans="1:2" ht="15.75" x14ac:dyDescent="0.25">
      <c r="B5" s="4"/>
    </row>
    <row r="6" spans="1:2" x14ac:dyDescent="0.25">
      <c r="B6" s="37" t="s">
        <v>176</v>
      </c>
    </row>
    <row r="7" spans="1:2" x14ac:dyDescent="0.25">
      <c r="B7" s="5" t="s">
        <v>177</v>
      </c>
    </row>
    <row r="8" spans="1:2" ht="15.75" x14ac:dyDescent="0.25">
      <c r="B8" s="4"/>
    </row>
    <row r="9" spans="1:2" x14ac:dyDescent="0.25">
      <c r="B9" s="37" t="s">
        <v>178</v>
      </c>
    </row>
    <row r="10" spans="1:2" ht="30" x14ac:dyDescent="0.25">
      <c r="B10" s="5" t="s">
        <v>179</v>
      </c>
    </row>
    <row r="11" spans="1:2" ht="31.5" x14ac:dyDescent="0.25">
      <c r="B11" s="38" t="s">
        <v>180</v>
      </c>
    </row>
    <row r="12" spans="1:2" ht="47.25" x14ac:dyDescent="0.25">
      <c r="B12" s="38" t="s">
        <v>181</v>
      </c>
    </row>
    <row r="13" spans="1:2" ht="78.75" x14ac:dyDescent="0.25">
      <c r="B13" s="38" t="s">
        <v>192</v>
      </c>
    </row>
    <row r="14" spans="1:2" ht="31.5" x14ac:dyDescent="0.25">
      <c r="B14" s="38" t="s">
        <v>180</v>
      </c>
    </row>
    <row r="15" spans="1:2" ht="47.25" x14ac:dyDescent="0.25">
      <c r="B15" s="38" t="s">
        <v>182</v>
      </c>
    </row>
    <row r="16" spans="1:2" ht="47.25" x14ac:dyDescent="0.25">
      <c r="B16" s="38" t="s">
        <v>183</v>
      </c>
    </row>
    <row r="17" spans="2:2" ht="15.75" x14ac:dyDescent="0.25">
      <c r="B17" s="4"/>
    </row>
    <row r="18" spans="2:2" x14ac:dyDescent="0.25">
      <c r="B18" s="37" t="s">
        <v>184</v>
      </c>
    </row>
    <row r="19" spans="2:2" x14ac:dyDescent="0.25">
      <c r="B19" s="5" t="s">
        <v>185</v>
      </c>
    </row>
    <row r="25" spans="2:2" ht="15.75" x14ac:dyDescent="0.25">
      <c r="B25" s="4"/>
    </row>
  </sheetData>
  <mergeCells count="1">
    <mergeCell ref="A2:B2"/>
  </mergeCell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53903-0896-40AB-B294-F95F1BA53908}">
  <sheetPr codeName="Hoja11"/>
  <dimension ref="A1:G81"/>
  <sheetViews>
    <sheetView workbookViewId="0"/>
  </sheetViews>
  <sheetFormatPr baseColWidth="10" defaultRowHeight="15" x14ac:dyDescent="0.25"/>
  <cols>
    <col min="1" max="1" width="4.42578125" customWidth="1"/>
    <col min="2" max="2" width="49.28515625" bestFit="1" customWidth="1"/>
    <col min="3" max="3" width="16" style="6" bestFit="1" customWidth="1"/>
    <col min="4" max="4" width="15.140625" style="6" bestFit="1" customWidth="1"/>
    <col min="5" max="5" width="49.28515625" style="6" bestFit="1" customWidth="1"/>
    <col min="6" max="7" width="12.85546875" style="6" customWidth="1"/>
    <col min="8" max="8" width="72.42578125" bestFit="1" customWidth="1"/>
  </cols>
  <sheetData>
    <row r="1" spans="1:5" x14ac:dyDescent="0.25">
      <c r="B1" s="1" t="s">
        <v>3</v>
      </c>
    </row>
    <row r="2" spans="1:5" x14ac:dyDescent="0.25">
      <c r="B2" t="s">
        <v>186</v>
      </c>
    </row>
    <row r="3" spans="1:5" x14ac:dyDescent="0.25">
      <c r="B3" t="s">
        <v>187</v>
      </c>
    </row>
    <row r="4" spans="1:5" x14ac:dyDescent="0.25">
      <c r="B4" t="s">
        <v>188</v>
      </c>
    </row>
    <row r="5" spans="1:5" x14ac:dyDescent="0.25">
      <c r="B5" t="s">
        <v>189</v>
      </c>
    </row>
    <row r="7" spans="1:5" x14ac:dyDescent="0.25">
      <c r="B7" s="1" t="s">
        <v>0</v>
      </c>
      <c r="C7" s="7" t="s">
        <v>190</v>
      </c>
      <c r="D7" s="7" t="s">
        <v>191</v>
      </c>
      <c r="E7" s="10" t="s">
        <v>6</v>
      </c>
    </row>
    <row r="8" spans="1:5" x14ac:dyDescent="0.25">
      <c r="A8">
        <v>1</v>
      </c>
      <c r="B8" t="s">
        <v>84</v>
      </c>
      <c r="C8" s="6" t="s">
        <v>1</v>
      </c>
      <c r="D8" s="8" t="s">
        <v>4</v>
      </c>
      <c r="E8" t="s">
        <v>84</v>
      </c>
    </row>
    <row r="9" spans="1:5" x14ac:dyDescent="0.25">
      <c r="A9">
        <v>2</v>
      </c>
      <c r="B9" t="s">
        <v>85</v>
      </c>
      <c r="C9" s="6" t="s">
        <v>1</v>
      </c>
      <c r="D9" s="8" t="s">
        <v>4</v>
      </c>
      <c r="E9" t="s">
        <v>158</v>
      </c>
    </row>
    <row r="10" spans="1:5" x14ac:dyDescent="0.25">
      <c r="A10">
        <v>3</v>
      </c>
      <c r="B10" t="s">
        <v>86</v>
      </c>
      <c r="C10" s="6" t="s">
        <v>1</v>
      </c>
      <c r="D10" s="8" t="s">
        <v>4</v>
      </c>
      <c r="E10" t="s">
        <v>86</v>
      </c>
    </row>
    <row r="11" spans="1:5" x14ac:dyDescent="0.25">
      <c r="A11">
        <v>4</v>
      </c>
      <c r="B11" t="s">
        <v>87</v>
      </c>
      <c r="C11" s="6" t="s">
        <v>1</v>
      </c>
      <c r="D11" s="8" t="s">
        <v>4</v>
      </c>
      <c r="E11" t="s">
        <v>87</v>
      </c>
    </row>
    <row r="12" spans="1:5" x14ac:dyDescent="0.25">
      <c r="A12">
        <v>5</v>
      </c>
      <c r="B12" t="s">
        <v>88</v>
      </c>
      <c r="C12" s="6" t="s">
        <v>1</v>
      </c>
      <c r="D12" s="8" t="s">
        <v>4</v>
      </c>
      <c r="E12" t="s">
        <v>88</v>
      </c>
    </row>
    <row r="13" spans="1:5" x14ac:dyDescent="0.25">
      <c r="A13">
        <v>6</v>
      </c>
      <c r="B13" t="s">
        <v>89</v>
      </c>
      <c r="C13" s="6" t="s">
        <v>2</v>
      </c>
      <c r="D13" s="8" t="s">
        <v>4</v>
      </c>
    </row>
    <row r="14" spans="1:5" x14ac:dyDescent="0.25">
      <c r="A14">
        <v>7</v>
      </c>
      <c r="B14" t="s">
        <v>90</v>
      </c>
      <c r="C14" s="6" t="s">
        <v>1</v>
      </c>
      <c r="D14" s="8" t="s">
        <v>4</v>
      </c>
      <c r="E14" t="s">
        <v>90</v>
      </c>
    </row>
    <row r="15" spans="1:5" x14ac:dyDescent="0.25">
      <c r="A15">
        <v>8</v>
      </c>
      <c r="B15" t="s">
        <v>91</v>
      </c>
      <c r="C15" s="6" t="s">
        <v>1</v>
      </c>
      <c r="D15" s="8" t="s">
        <v>4</v>
      </c>
      <c r="E15" t="s">
        <v>91</v>
      </c>
    </row>
    <row r="16" spans="1:5" x14ac:dyDescent="0.25">
      <c r="A16">
        <v>9</v>
      </c>
      <c r="B16" t="s">
        <v>92</v>
      </c>
      <c r="C16" s="6" t="s">
        <v>1</v>
      </c>
      <c r="D16" s="8" t="s">
        <v>4</v>
      </c>
      <c r="E16" t="s">
        <v>92</v>
      </c>
    </row>
    <row r="17" spans="1:5" x14ac:dyDescent="0.25">
      <c r="A17">
        <v>10</v>
      </c>
      <c r="B17" t="s">
        <v>93</v>
      </c>
      <c r="C17" s="6" t="s">
        <v>1</v>
      </c>
      <c r="D17" s="8" t="s">
        <v>4</v>
      </c>
      <c r="E17" t="s">
        <v>93</v>
      </c>
    </row>
    <row r="18" spans="1:5" x14ac:dyDescent="0.25">
      <c r="A18">
        <v>11</v>
      </c>
      <c r="B18" t="s">
        <v>94</v>
      </c>
      <c r="C18" s="6" t="s">
        <v>1</v>
      </c>
      <c r="D18" s="8" t="s">
        <v>4</v>
      </c>
      <c r="E18" t="s">
        <v>94</v>
      </c>
    </row>
    <row r="19" spans="1:5" x14ac:dyDescent="0.25">
      <c r="A19">
        <v>12</v>
      </c>
      <c r="B19" t="s">
        <v>95</v>
      </c>
      <c r="C19" s="6" t="s">
        <v>1</v>
      </c>
      <c r="D19" s="8" t="s">
        <v>4</v>
      </c>
      <c r="E19" t="s">
        <v>95</v>
      </c>
    </row>
    <row r="20" spans="1:5" x14ac:dyDescent="0.25">
      <c r="A20">
        <v>13</v>
      </c>
      <c r="B20" t="s">
        <v>96</v>
      </c>
      <c r="C20" s="6" t="s">
        <v>1</v>
      </c>
      <c r="D20" s="8" t="s">
        <v>4</v>
      </c>
      <c r="E20" t="s">
        <v>96</v>
      </c>
    </row>
    <row r="21" spans="1:5" x14ac:dyDescent="0.25">
      <c r="A21">
        <v>14</v>
      </c>
      <c r="B21" t="s">
        <v>97</v>
      </c>
      <c r="C21" s="6" t="s">
        <v>1</v>
      </c>
      <c r="D21" s="8" t="s">
        <v>4</v>
      </c>
      <c r="E21" t="s">
        <v>97</v>
      </c>
    </row>
    <row r="22" spans="1:5" x14ac:dyDescent="0.25">
      <c r="A22">
        <v>15</v>
      </c>
      <c r="B22" t="s">
        <v>98</v>
      </c>
      <c r="C22" s="6" t="s">
        <v>2</v>
      </c>
      <c r="D22" s="6" t="s">
        <v>1</v>
      </c>
    </row>
    <row r="23" spans="1:5" x14ac:dyDescent="0.25">
      <c r="A23">
        <v>16</v>
      </c>
      <c r="B23" t="s">
        <v>99</v>
      </c>
      <c r="C23" s="6" t="s">
        <v>1</v>
      </c>
      <c r="D23" s="8" t="s">
        <v>4</v>
      </c>
      <c r="E23" t="s">
        <v>99</v>
      </c>
    </row>
    <row r="24" spans="1:5" x14ac:dyDescent="0.25">
      <c r="A24">
        <v>17</v>
      </c>
      <c r="B24" t="s">
        <v>100</v>
      </c>
      <c r="C24" s="6" t="s">
        <v>1</v>
      </c>
      <c r="D24" s="8" t="s">
        <v>4</v>
      </c>
      <c r="E24" t="s">
        <v>100</v>
      </c>
    </row>
    <row r="25" spans="1:5" x14ac:dyDescent="0.25">
      <c r="A25">
        <v>18</v>
      </c>
      <c r="B25" t="s">
        <v>101</v>
      </c>
      <c r="C25" s="6" t="s">
        <v>1</v>
      </c>
      <c r="D25" s="8" t="s">
        <v>4</v>
      </c>
      <c r="E25" t="s">
        <v>101</v>
      </c>
    </row>
    <row r="26" spans="1:5" x14ac:dyDescent="0.25">
      <c r="A26">
        <v>19</v>
      </c>
      <c r="B26" t="s">
        <v>102</v>
      </c>
      <c r="C26" s="6" t="s">
        <v>1</v>
      </c>
      <c r="D26" s="8" t="s">
        <v>4</v>
      </c>
      <c r="E26" t="s">
        <v>102</v>
      </c>
    </row>
    <row r="27" spans="1:5" x14ac:dyDescent="0.25">
      <c r="A27">
        <v>20</v>
      </c>
      <c r="B27" t="s">
        <v>103</v>
      </c>
      <c r="C27" s="6" t="s">
        <v>1</v>
      </c>
      <c r="D27" s="8" t="s">
        <v>4</v>
      </c>
      <c r="E27" t="s">
        <v>103</v>
      </c>
    </row>
    <row r="28" spans="1:5" x14ac:dyDescent="0.25">
      <c r="A28">
        <v>21</v>
      </c>
      <c r="B28" t="s">
        <v>104</v>
      </c>
      <c r="C28" s="6" t="s">
        <v>1</v>
      </c>
      <c r="D28" s="8" t="s">
        <v>4</v>
      </c>
      <c r="E28" t="s">
        <v>104</v>
      </c>
    </row>
    <row r="29" spans="1:5" x14ac:dyDescent="0.25">
      <c r="A29">
        <v>22</v>
      </c>
      <c r="B29" t="s">
        <v>105</v>
      </c>
      <c r="C29" s="6" t="s">
        <v>1</v>
      </c>
      <c r="D29" s="8" t="s">
        <v>4</v>
      </c>
      <c r="E29" t="s">
        <v>159</v>
      </c>
    </row>
    <row r="30" spans="1:5" x14ac:dyDescent="0.25">
      <c r="A30">
        <v>23</v>
      </c>
      <c r="B30" t="s">
        <v>106</v>
      </c>
      <c r="C30" s="6" t="s">
        <v>1</v>
      </c>
      <c r="D30" s="8" t="s">
        <v>4</v>
      </c>
      <c r="E30" t="s">
        <v>106</v>
      </c>
    </row>
    <row r="31" spans="1:5" x14ac:dyDescent="0.25">
      <c r="A31">
        <v>24</v>
      </c>
      <c r="B31" t="s">
        <v>107</v>
      </c>
      <c r="C31" s="6" t="s">
        <v>1</v>
      </c>
      <c r="D31" s="8" t="s">
        <v>4</v>
      </c>
      <c r="E31" t="s">
        <v>107</v>
      </c>
    </row>
    <row r="32" spans="1:5" x14ac:dyDescent="0.25">
      <c r="A32">
        <v>25</v>
      </c>
      <c r="B32" t="s">
        <v>108</v>
      </c>
      <c r="C32" s="6" t="s">
        <v>1</v>
      </c>
      <c r="D32" s="8" t="s">
        <v>4</v>
      </c>
      <c r="E32" t="s">
        <v>108</v>
      </c>
    </row>
    <row r="33" spans="1:5" x14ac:dyDescent="0.25">
      <c r="A33">
        <v>26</v>
      </c>
      <c r="B33" t="s">
        <v>109</v>
      </c>
      <c r="C33" s="6" t="s">
        <v>1</v>
      </c>
      <c r="D33" s="8" t="s">
        <v>4</v>
      </c>
      <c r="E33" t="s">
        <v>109</v>
      </c>
    </row>
    <row r="34" spans="1:5" x14ac:dyDescent="0.25">
      <c r="A34">
        <v>27</v>
      </c>
      <c r="B34" t="s">
        <v>110</v>
      </c>
      <c r="C34" s="6" t="s">
        <v>1</v>
      </c>
      <c r="D34" s="8" t="s">
        <v>4</v>
      </c>
      <c r="E34" t="s">
        <v>110</v>
      </c>
    </row>
    <row r="35" spans="1:5" x14ac:dyDescent="0.25">
      <c r="A35">
        <v>28</v>
      </c>
      <c r="B35" t="s">
        <v>111</v>
      </c>
      <c r="C35" s="6" t="s">
        <v>2</v>
      </c>
      <c r="D35" s="6" t="s">
        <v>2</v>
      </c>
    </row>
    <row r="36" spans="1:5" x14ac:dyDescent="0.25">
      <c r="A36">
        <v>29</v>
      </c>
      <c r="B36" t="s">
        <v>112</v>
      </c>
      <c r="C36" s="6" t="s">
        <v>1</v>
      </c>
      <c r="D36" s="8" t="s">
        <v>4</v>
      </c>
      <c r="E36" t="s">
        <v>112</v>
      </c>
    </row>
    <row r="37" spans="1:5" x14ac:dyDescent="0.25">
      <c r="A37">
        <v>30</v>
      </c>
      <c r="B37" t="s">
        <v>113</v>
      </c>
      <c r="C37" s="6" t="s">
        <v>1</v>
      </c>
      <c r="D37" s="8" t="s">
        <v>4</v>
      </c>
      <c r="E37" t="s">
        <v>113</v>
      </c>
    </row>
    <row r="38" spans="1:5" x14ac:dyDescent="0.25">
      <c r="A38">
        <v>31</v>
      </c>
      <c r="B38" t="s">
        <v>114</v>
      </c>
      <c r="C38" s="6" t="s">
        <v>2</v>
      </c>
      <c r="D38" s="6" t="s">
        <v>2</v>
      </c>
    </row>
    <row r="39" spans="1:5" x14ac:dyDescent="0.25">
      <c r="A39">
        <v>32</v>
      </c>
      <c r="B39" t="s">
        <v>115</v>
      </c>
      <c r="C39" s="6" t="s">
        <v>1</v>
      </c>
      <c r="D39" s="8" t="s">
        <v>4</v>
      </c>
      <c r="E39" t="s">
        <v>115</v>
      </c>
    </row>
    <row r="40" spans="1:5" x14ac:dyDescent="0.25">
      <c r="A40">
        <v>33</v>
      </c>
      <c r="B40" t="s">
        <v>116</v>
      </c>
      <c r="C40" s="6" t="s">
        <v>2</v>
      </c>
      <c r="D40" s="6" t="s">
        <v>2</v>
      </c>
    </row>
    <row r="41" spans="1:5" x14ac:dyDescent="0.25">
      <c r="A41">
        <v>34</v>
      </c>
      <c r="B41" t="s">
        <v>117</v>
      </c>
      <c r="C41" s="6" t="s">
        <v>1</v>
      </c>
      <c r="D41" s="8" t="s">
        <v>4</v>
      </c>
      <c r="E41" t="s">
        <v>117</v>
      </c>
    </row>
    <row r="42" spans="1:5" x14ac:dyDescent="0.25">
      <c r="A42">
        <v>35</v>
      </c>
      <c r="B42" t="s">
        <v>118</v>
      </c>
      <c r="C42" s="6" t="s">
        <v>1</v>
      </c>
      <c r="D42" s="8" t="s">
        <v>4</v>
      </c>
      <c r="E42" t="s">
        <v>118</v>
      </c>
    </row>
    <row r="43" spans="1:5" x14ac:dyDescent="0.25">
      <c r="A43">
        <v>36</v>
      </c>
      <c r="B43" t="s">
        <v>119</v>
      </c>
      <c r="C43" s="6" t="s">
        <v>2</v>
      </c>
      <c r="D43" s="6" t="s">
        <v>2</v>
      </c>
    </row>
    <row r="44" spans="1:5" x14ac:dyDescent="0.25">
      <c r="A44">
        <v>37</v>
      </c>
      <c r="B44" t="s">
        <v>120</v>
      </c>
      <c r="C44" s="6" t="s">
        <v>1</v>
      </c>
      <c r="D44" s="8" t="s">
        <v>4</v>
      </c>
      <c r="E44" t="s">
        <v>120</v>
      </c>
    </row>
    <row r="45" spans="1:5" x14ac:dyDescent="0.25">
      <c r="A45">
        <v>38</v>
      </c>
      <c r="B45" t="s">
        <v>121</v>
      </c>
      <c r="C45" s="6" t="s">
        <v>1</v>
      </c>
      <c r="D45" s="8" t="s">
        <v>4</v>
      </c>
      <c r="E45" t="s">
        <v>121</v>
      </c>
    </row>
    <row r="46" spans="1:5" x14ac:dyDescent="0.25">
      <c r="A46">
        <v>39</v>
      </c>
      <c r="B46" t="s">
        <v>122</v>
      </c>
      <c r="C46" s="6" t="s">
        <v>1</v>
      </c>
      <c r="D46" s="8" t="s">
        <v>4</v>
      </c>
      <c r="E46" t="s">
        <v>162</v>
      </c>
    </row>
    <row r="47" spans="1:5" x14ac:dyDescent="0.25">
      <c r="A47">
        <v>40</v>
      </c>
      <c r="B47" t="s">
        <v>123</v>
      </c>
      <c r="C47" s="6" t="s">
        <v>1</v>
      </c>
      <c r="D47" s="8" t="s">
        <v>4</v>
      </c>
      <c r="E47" s="9" t="s">
        <v>123</v>
      </c>
    </row>
    <row r="48" spans="1:5" x14ac:dyDescent="0.25">
      <c r="A48">
        <v>41</v>
      </c>
      <c r="B48" t="s">
        <v>124</v>
      </c>
      <c r="C48" s="6" t="s">
        <v>1</v>
      </c>
      <c r="D48" s="8" t="s">
        <v>4</v>
      </c>
      <c r="E48" s="9" t="s">
        <v>124</v>
      </c>
    </row>
    <row r="49" spans="1:5" x14ac:dyDescent="0.25">
      <c r="A49">
        <v>42</v>
      </c>
      <c r="B49" t="s">
        <v>125</v>
      </c>
      <c r="C49" s="6" t="s">
        <v>1</v>
      </c>
      <c r="D49" s="8" t="s">
        <v>4</v>
      </c>
      <c r="E49" s="9" t="s">
        <v>125</v>
      </c>
    </row>
    <row r="50" spans="1:5" x14ac:dyDescent="0.25">
      <c r="A50">
        <v>43</v>
      </c>
      <c r="B50" t="s">
        <v>126</v>
      </c>
      <c r="C50" s="6" t="s">
        <v>1</v>
      </c>
      <c r="D50" s="8" t="s">
        <v>4</v>
      </c>
      <c r="E50" s="9" t="s">
        <v>126</v>
      </c>
    </row>
    <row r="51" spans="1:5" x14ac:dyDescent="0.25">
      <c r="A51">
        <v>44</v>
      </c>
      <c r="B51" t="s">
        <v>127</v>
      </c>
      <c r="C51" s="6" t="s">
        <v>1</v>
      </c>
      <c r="D51" s="8" t="s">
        <v>4</v>
      </c>
      <c r="E51" s="9" t="s">
        <v>127</v>
      </c>
    </row>
    <row r="52" spans="1:5" x14ac:dyDescent="0.25">
      <c r="A52">
        <v>45</v>
      </c>
      <c r="B52" t="s">
        <v>128</v>
      </c>
      <c r="C52" s="6" t="s">
        <v>1</v>
      </c>
      <c r="D52" s="8" t="s">
        <v>4</v>
      </c>
      <c r="E52" s="9" t="s">
        <v>128</v>
      </c>
    </row>
    <row r="53" spans="1:5" x14ac:dyDescent="0.25">
      <c r="A53">
        <v>46</v>
      </c>
      <c r="B53" t="s">
        <v>129</v>
      </c>
      <c r="C53" s="6" t="s">
        <v>1</v>
      </c>
      <c r="D53" s="8" t="s">
        <v>4</v>
      </c>
      <c r="E53" s="9" t="s">
        <v>129</v>
      </c>
    </row>
    <row r="54" spans="1:5" x14ac:dyDescent="0.25">
      <c r="A54">
        <v>47</v>
      </c>
      <c r="B54" t="s">
        <v>130</v>
      </c>
      <c r="C54" s="6" t="s">
        <v>2</v>
      </c>
      <c r="D54" s="8" t="s">
        <v>1</v>
      </c>
    </row>
    <row r="55" spans="1:5" x14ac:dyDescent="0.25">
      <c r="A55">
        <v>48</v>
      </c>
      <c r="B55" t="s">
        <v>131</v>
      </c>
      <c r="C55" s="6" t="s">
        <v>1</v>
      </c>
      <c r="D55" s="8" t="s">
        <v>4</v>
      </c>
      <c r="E55" s="9" t="s">
        <v>131</v>
      </c>
    </row>
    <row r="56" spans="1:5" x14ac:dyDescent="0.25">
      <c r="A56">
        <v>49</v>
      </c>
      <c r="B56" t="s">
        <v>132</v>
      </c>
      <c r="C56" s="6" t="s">
        <v>1</v>
      </c>
      <c r="D56" s="8" t="s">
        <v>4</v>
      </c>
      <c r="E56" s="9" t="s">
        <v>132</v>
      </c>
    </row>
    <row r="57" spans="1:5" x14ac:dyDescent="0.25">
      <c r="A57">
        <v>50</v>
      </c>
      <c r="B57" t="s">
        <v>133</v>
      </c>
      <c r="C57" s="6" t="s">
        <v>1</v>
      </c>
      <c r="D57" s="8" t="s">
        <v>4</v>
      </c>
      <c r="E57" s="9" t="s">
        <v>133</v>
      </c>
    </row>
    <row r="58" spans="1:5" x14ac:dyDescent="0.25">
      <c r="A58">
        <v>51</v>
      </c>
      <c r="B58" t="s">
        <v>134</v>
      </c>
      <c r="C58" s="6" t="s">
        <v>1</v>
      </c>
      <c r="D58" s="8" t="s">
        <v>4</v>
      </c>
      <c r="E58" s="9" t="s">
        <v>134</v>
      </c>
    </row>
    <row r="59" spans="1:5" x14ac:dyDescent="0.25">
      <c r="A59">
        <v>52</v>
      </c>
      <c r="B59" t="s">
        <v>135</v>
      </c>
      <c r="C59" s="6" t="s">
        <v>1</v>
      </c>
      <c r="D59" s="8" t="s">
        <v>4</v>
      </c>
      <c r="E59" s="9" t="s">
        <v>135</v>
      </c>
    </row>
    <row r="60" spans="1:5" x14ac:dyDescent="0.25">
      <c r="A60">
        <v>53</v>
      </c>
      <c r="B60" t="s">
        <v>136</v>
      </c>
      <c r="C60" s="6" t="s">
        <v>1</v>
      </c>
      <c r="D60" s="8" t="s">
        <v>4</v>
      </c>
      <c r="E60" t="s">
        <v>136</v>
      </c>
    </row>
    <row r="61" spans="1:5" x14ac:dyDescent="0.25">
      <c r="A61">
        <v>54</v>
      </c>
      <c r="B61" t="s">
        <v>137</v>
      </c>
      <c r="C61" s="6" t="s">
        <v>1</v>
      </c>
      <c r="D61" s="8" t="s">
        <v>4</v>
      </c>
      <c r="E61" t="s">
        <v>137</v>
      </c>
    </row>
    <row r="62" spans="1:5" x14ac:dyDescent="0.25">
      <c r="A62">
        <v>55</v>
      </c>
      <c r="B62" t="s">
        <v>138</v>
      </c>
      <c r="C62" s="6" t="s">
        <v>1</v>
      </c>
      <c r="D62" s="8" t="s">
        <v>4</v>
      </c>
      <c r="E62" t="s">
        <v>138</v>
      </c>
    </row>
    <row r="63" spans="1:5" x14ac:dyDescent="0.25">
      <c r="A63">
        <v>56</v>
      </c>
      <c r="B63" t="s">
        <v>139</v>
      </c>
      <c r="C63" s="6" t="s">
        <v>1</v>
      </c>
      <c r="D63" s="8" t="s">
        <v>4</v>
      </c>
      <c r="E63" t="s">
        <v>139</v>
      </c>
    </row>
    <row r="64" spans="1:5" x14ac:dyDescent="0.25">
      <c r="A64">
        <v>57</v>
      </c>
      <c r="B64" t="s">
        <v>140</v>
      </c>
      <c r="C64" s="6" t="s">
        <v>2</v>
      </c>
      <c r="D64" s="8" t="s">
        <v>1</v>
      </c>
    </row>
    <row r="65" spans="1:5" x14ac:dyDescent="0.25">
      <c r="A65">
        <v>58</v>
      </c>
      <c r="B65" t="s">
        <v>141</v>
      </c>
      <c r="C65" s="6" t="s">
        <v>1</v>
      </c>
      <c r="D65" s="8" t="s">
        <v>4</v>
      </c>
      <c r="E65" t="s">
        <v>141</v>
      </c>
    </row>
    <row r="66" spans="1:5" x14ac:dyDescent="0.25">
      <c r="A66">
        <v>59</v>
      </c>
      <c r="B66" t="s">
        <v>142</v>
      </c>
      <c r="C66" s="6" t="s">
        <v>1</v>
      </c>
      <c r="D66" s="8" t="s">
        <v>4</v>
      </c>
      <c r="E66" t="s">
        <v>163</v>
      </c>
    </row>
    <row r="67" spans="1:5" x14ac:dyDescent="0.25">
      <c r="A67">
        <v>60</v>
      </c>
      <c r="B67" t="s">
        <v>143</v>
      </c>
      <c r="C67" s="6" t="s">
        <v>1</v>
      </c>
      <c r="D67" s="8" t="s">
        <v>4</v>
      </c>
      <c r="E67" t="s">
        <v>143</v>
      </c>
    </row>
    <row r="68" spans="1:5" x14ac:dyDescent="0.25">
      <c r="A68">
        <v>61</v>
      </c>
      <c r="B68" t="s">
        <v>144</v>
      </c>
      <c r="C68" s="6" t="s">
        <v>1</v>
      </c>
      <c r="D68" s="8" t="s">
        <v>4</v>
      </c>
      <c r="E68" t="s">
        <v>144</v>
      </c>
    </row>
    <row r="69" spans="1:5" x14ac:dyDescent="0.25">
      <c r="A69">
        <v>62</v>
      </c>
      <c r="B69" t="s">
        <v>145</v>
      </c>
      <c r="C69" s="6" t="s">
        <v>1</v>
      </c>
      <c r="D69" s="8" t="s">
        <v>4</v>
      </c>
      <c r="E69" t="s">
        <v>145</v>
      </c>
    </row>
    <row r="70" spans="1:5" x14ac:dyDescent="0.25">
      <c r="A70">
        <v>63</v>
      </c>
      <c r="B70" t="s">
        <v>146</v>
      </c>
      <c r="C70" s="6" t="s">
        <v>1</v>
      </c>
      <c r="D70" s="8" t="s">
        <v>4</v>
      </c>
      <c r="E70" t="s">
        <v>146</v>
      </c>
    </row>
    <row r="71" spans="1:5" x14ac:dyDescent="0.25">
      <c r="A71">
        <v>64</v>
      </c>
      <c r="B71" t="s">
        <v>147</v>
      </c>
      <c r="C71" s="6" t="s">
        <v>2</v>
      </c>
      <c r="D71" s="8" t="s">
        <v>2</v>
      </c>
    </row>
    <row r="72" spans="1:5" x14ac:dyDescent="0.25">
      <c r="A72">
        <v>65</v>
      </c>
      <c r="B72" t="s">
        <v>148</v>
      </c>
      <c r="C72" s="6" t="s">
        <v>1</v>
      </c>
      <c r="D72" s="8" t="s">
        <v>4</v>
      </c>
      <c r="E72" t="s">
        <v>148</v>
      </c>
    </row>
    <row r="73" spans="1:5" x14ac:dyDescent="0.25">
      <c r="A73">
        <v>66</v>
      </c>
      <c r="B73" t="s">
        <v>149</v>
      </c>
      <c r="C73" s="6" t="s">
        <v>2</v>
      </c>
      <c r="D73" s="8" t="s">
        <v>2</v>
      </c>
    </row>
    <row r="74" spans="1:5" x14ac:dyDescent="0.25">
      <c r="A74">
        <v>67</v>
      </c>
      <c r="B74" t="s">
        <v>150</v>
      </c>
      <c r="C74" s="6" t="s">
        <v>2</v>
      </c>
      <c r="D74" s="8" t="s">
        <v>2</v>
      </c>
    </row>
    <row r="75" spans="1:5" x14ac:dyDescent="0.25">
      <c r="A75">
        <v>68</v>
      </c>
      <c r="B75" t="s">
        <v>151</v>
      </c>
      <c r="C75" s="6" t="s">
        <v>1</v>
      </c>
      <c r="D75" s="8" t="s">
        <v>4</v>
      </c>
      <c r="E75" t="s">
        <v>151</v>
      </c>
    </row>
    <row r="76" spans="1:5" x14ac:dyDescent="0.25">
      <c r="A76">
        <v>69</v>
      </c>
      <c r="B76" t="s">
        <v>152</v>
      </c>
      <c r="C76" s="6" t="s">
        <v>1</v>
      </c>
      <c r="D76" s="8" t="s">
        <v>4</v>
      </c>
      <c r="E76" t="s">
        <v>152</v>
      </c>
    </row>
    <row r="77" spans="1:5" x14ac:dyDescent="0.25">
      <c r="A77">
        <v>70</v>
      </c>
      <c r="B77" t="s">
        <v>153</v>
      </c>
      <c r="C77" s="6" t="s">
        <v>1</v>
      </c>
      <c r="D77" s="8" t="s">
        <v>4</v>
      </c>
      <c r="E77" t="s">
        <v>153</v>
      </c>
    </row>
    <row r="78" spans="1:5" x14ac:dyDescent="0.25">
      <c r="A78">
        <v>71</v>
      </c>
      <c r="B78" t="s">
        <v>154</v>
      </c>
      <c r="C78" s="6" t="s">
        <v>1</v>
      </c>
      <c r="D78" s="8" t="s">
        <v>4</v>
      </c>
      <c r="E78" t="s">
        <v>154</v>
      </c>
    </row>
    <row r="79" spans="1:5" x14ac:dyDescent="0.25">
      <c r="A79">
        <v>72</v>
      </c>
      <c r="B79" t="s">
        <v>155</v>
      </c>
      <c r="C79" s="6" t="s">
        <v>1</v>
      </c>
      <c r="D79" s="8" t="s">
        <v>4</v>
      </c>
      <c r="E79" t="s">
        <v>155</v>
      </c>
    </row>
    <row r="80" spans="1:5" x14ac:dyDescent="0.25">
      <c r="A80">
        <v>73</v>
      </c>
      <c r="B80" t="s">
        <v>156</v>
      </c>
      <c r="C80" s="6" t="s">
        <v>1</v>
      </c>
      <c r="D80" s="8" t="s">
        <v>4</v>
      </c>
      <c r="E80" t="s">
        <v>156</v>
      </c>
    </row>
    <row r="81" spans="1:5" x14ac:dyDescent="0.25">
      <c r="A81">
        <v>74</v>
      </c>
      <c r="B81" t="s">
        <v>157</v>
      </c>
      <c r="C81" s="6" t="s">
        <v>1</v>
      </c>
      <c r="D81" s="8" t="s">
        <v>4</v>
      </c>
      <c r="E81" t="s">
        <v>157</v>
      </c>
    </row>
  </sheetData>
  <autoFilter ref="A7:E81" xr:uid="{20453903-0896-40AB-B294-F95F1BA53908}"/>
  <conditionalFormatting sqref="C8:D81">
    <cfRule type="containsText" dxfId="31" priority="1" operator="containsText" text="error">
      <formula>NOT(ISERROR(SEARCH("error",C8)))</formula>
    </cfRule>
    <cfRule type="containsText" dxfId="30" priority="2" operator="containsText" text="Ok">
      <formula>NOT(ISERROR(SEARCH("Ok",C8)))</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61DD7-FA5C-4D10-BDDC-6D15522EEDD7}">
  <dimension ref="A1:H65"/>
  <sheetViews>
    <sheetView workbookViewId="0"/>
  </sheetViews>
  <sheetFormatPr baseColWidth="10" defaultRowHeight="15" x14ac:dyDescent="0.25"/>
  <cols>
    <col min="1" max="1" width="13.7109375" bestFit="1" customWidth="1"/>
    <col min="3" max="3" width="49.28515625" bestFit="1" customWidth="1"/>
    <col min="4" max="4" width="13.140625" style="6" customWidth="1"/>
    <col min="5" max="5" width="11.42578125" style="6"/>
  </cols>
  <sheetData>
    <row r="1" spans="1:8" ht="45" x14ac:dyDescent="0.25">
      <c r="A1" s="13" t="s">
        <v>83</v>
      </c>
      <c r="B1" s="13" t="s">
        <v>48</v>
      </c>
      <c r="C1" s="13" t="s">
        <v>7</v>
      </c>
      <c r="D1" s="13" t="s">
        <v>81</v>
      </c>
      <c r="E1" s="13" t="s">
        <v>8</v>
      </c>
      <c r="G1" s="13" t="s">
        <v>165</v>
      </c>
      <c r="H1" s="24">
        <f>COUNTA(C:C)-1</f>
        <v>64</v>
      </c>
    </row>
    <row r="2" spans="1:8" x14ac:dyDescent="0.25">
      <c r="A2" t="s">
        <v>160</v>
      </c>
      <c r="B2" t="s">
        <v>49</v>
      </c>
      <c r="C2" t="s">
        <v>84</v>
      </c>
      <c r="D2" s="6">
        <v>4.7</v>
      </c>
      <c r="E2" s="6" t="s">
        <v>10</v>
      </c>
      <c r="G2" s="2" t="s">
        <v>12</v>
      </c>
      <c r="H2" s="14">
        <f>AVERAGE(D:D)</f>
        <v>4.7671874999999977</v>
      </c>
    </row>
    <row r="3" spans="1:8" x14ac:dyDescent="0.25">
      <c r="A3" t="s">
        <v>160</v>
      </c>
      <c r="B3" t="s">
        <v>50</v>
      </c>
      <c r="C3" t="s">
        <v>158</v>
      </c>
      <c r="D3" s="6">
        <v>5.8</v>
      </c>
      <c r="E3" s="6" t="s">
        <v>10</v>
      </c>
      <c r="G3" s="2" t="s">
        <v>13</v>
      </c>
      <c r="H3" s="14">
        <f>MAX(D:D)</f>
        <v>7.8</v>
      </c>
    </row>
    <row r="4" spans="1:8" x14ac:dyDescent="0.25">
      <c r="A4" t="s">
        <v>160</v>
      </c>
      <c r="B4" t="s">
        <v>51</v>
      </c>
      <c r="C4" t="s">
        <v>86</v>
      </c>
      <c r="D4" s="6">
        <v>5.8</v>
      </c>
      <c r="E4" s="6" t="s">
        <v>10</v>
      </c>
      <c r="G4" s="2" t="s">
        <v>14</v>
      </c>
      <c r="H4" s="14">
        <f>MIN(D:D)</f>
        <v>2.6</v>
      </c>
    </row>
    <row r="5" spans="1:8" x14ac:dyDescent="0.25">
      <c r="A5" t="s">
        <v>160</v>
      </c>
      <c r="B5" t="s">
        <v>52</v>
      </c>
      <c r="C5" t="s">
        <v>87</v>
      </c>
      <c r="D5" s="6">
        <v>5.8</v>
      </c>
      <c r="E5" s="6" t="s">
        <v>10</v>
      </c>
      <c r="G5" s="2" t="s">
        <v>15</v>
      </c>
      <c r="H5" s="15">
        <f>COUNTIF(E:E,"AA")/(COUNTIF(E:E,"AA")+COUNTIF(E:E,"A")+COUNTIF(E:E,"No válido"))</f>
        <v>3.125E-2</v>
      </c>
    </row>
    <row r="6" spans="1:8" x14ac:dyDescent="0.25">
      <c r="A6" t="s">
        <v>160</v>
      </c>
      <c r="B6" t="s">
        <v>53</v>
      </c>
      <c r="C6" t="s">
        <v>88</v>
      </c>
      <c r="D6" s="6">
        <v>5.8</v>
      </c>
      <c r="E6" s="6" t="s">
        <v>10</v>
      </c>
      <c r="G6" s="2" t="s">
        <v>16</v>
      </c>
      <c r="H6" s="15">
        <f>COUNTIF(E:E,"A")/(COUNTIF(E:E,"AA")+COUNTIF(E:E,"A")+COUNTIF(E:E,"No válido"))</f>
        <v>3.125E-2</v>
      </c>
    </row>
    <row r="7" spans="1:8" x14ac:dyDescent="0.25">
      <c r="A7" t="s">
        <v>160</v>
      </c>
      <c r="B7" t="s">
        <v>54</v>
      </c>
      <c r="C7" t="s">
        <v>90</v>
      </c>
      <c r="D7" s="6">
        <v>4.2</v>
      </c>
      <c r="E7" s="6" t="s">
        <v>10</v>
      </c>
      <c r="G7" s="2" t="s">
        <v>17</v>
      </c>
      <c r="H7" s="15">
        <f>COUNTIF(E:E,"No válido")/(COUNTIF(E:E,"AA")+COUNTIF(E:E,"A")+COUNTIF(E:E,"No válido"))</f>
        <v>0.9375</v>
      </c>
    </row>
    <row r="8" spans="1:8" x14ac:dyDescent="0.25">
      <c r="A8" t="s">
        <v>160</v>
      </c>
      <c r="B8" t="s">
        <v>55</v>
      </c>
      <c r="C8" t="s">
        <v>91</v>
      </c>
      <c r="D8" s="6">
        <v>6.1</v>
      </c>
      <c r="E8" s="6" t="s">
        <v>10</v>
      </c>
    </row>
    <row r="9" spans="1:8" x14ac:dyDescent="0.25">
      <c r="A9" t="s">
        <v>160</v>
      </c>
      <c r="B9" t="s">
        <v>56</v>
      </c>
      <c r="C9" t="s">
        <v>92</v>
      </c>
      <c r="D9" s="6">
        <v>3.2</v>
      </c>
      <c r="E9" s="6" t="s">
        <v>10</v>
      </c>
    </row>
    <row r="10" spans="1:8" x14ac:dyDescent="0.25">
      <c r="A10" t="s">
        <v>160</v>
      </c>
      <c r="B10" t="s">
        <v>57</v>
      </c>
      <c r="C10" t="s">
        <v>93</v>
      </c>
      <c r="D10" s="6">
        <v>7.8</v>
      </c>
      <c r="E10" s="6" t="s">
        <v>9</v>
      </c>
    </row>
    <row r="11" spans="1:8" x14ac:dyDescent="0.25">
      <c r="A11" t="s">
        <v>160</v>
      </c>
      <c r="B11" t="s">
        <v>58</v>
      </c>
      <c r="C11" t="s">
        <v>94</v>
      </c>
      <c r="D11" s="6">
        <v>4.2</v>
      </c>
      <c r="E11" s="6" t="s">
        <v>10</v>
      </c>
    </row>
    <row r="12" spans="1:8" x14ac:dyDescent="0.25">
      <c r="A12" t="s">
        <v>160</v>
      </c>
      <c r="B12" t="s">
        <v>59</v>
      </c>
      <c r="C12" t="s">
        <v>95</v>
      </c>
      <c r="D12" s="6">
        <v>4.4000000000000004</v>
      </c>
      <c r="E12" s="6" t="s">
        <v>10</v>
      </c>
    </row>
    <row r="13" spans="1:8" x14ac:dyDescent="0.25">
      <c r="A13" t="s">
        <v>160</v>
      </c>
      <c r="B13" t="s">
        <v>60</v>
      </c>
      <c r="C13" t="s">
        <v>96</v>
      </c>
      <c r="D13" s="6">
        <v>5</v>
      </c>
      <c r="E13" s="6" t="s">
        <v>10</v>
      </c>
    </row>
    <row r="14" spans="1:8" x14ac:dyDescent="0.25">
      <c r="A14" t="s">
        <v>160</v>
      </c>
      <c r="B14" t="s">
        <v>61</v>
      </c>
      <c r="C14" t="s">
        <v>97</v>
      </c>
      <c r="D14" s="6">
        <v>4.2</v>
      </c>
      <c r="E14" s="6" t="s">
        <v>10</v>
      </c>
    </row>
    <row r="15" spans="1:8" x14ac:dyDescent="0.25">
      <c r="A15" t="s">
        <v>160</v>
      </c>
      <c r="B15" t="s">
        <v>62</v>
      </c>
      <c r="C15" t="s">
        <v>99</v>
      </c>
      <c r="D15" s="6">
        <v>6.1</v>
      </c>
      <c r="E15" s="6" t="s">
        <v>10</v>
      </c>
    </row>
    <row r="16" spans="1:8" x14ac:dyDescent="0.25">
      <c r="A16" t="s">
        <v>160</v>
      </c>
      <c r="B16" t="s">
        <v>63</v>
      </c>
      <c r="C16" t="s">
        <v>100</v>
      </c>
      <c r="D16" s="6">
        <v>7.2</v>
      </c>
      <c r="E16" s="6" t="s">
        <v>11</v>
      </c>
    </row>
    <row r="17" spans="1:5" x14ac:dyDescent="0.25">
      <c r="A17" t="s">
        <v>160</v>
      </c>
      <c r="B17" t="s">
        <v>64</v>
      </c>
      <c r="C17" t="s">
        <v>101</v>
      </c>
      <c r="D17" s="6">
        <v>3.2</v>
      </c>
      <c r="E17" s="6" t="s">
        <v>10</v>
      </c>
    </row>
    <row r="18" spans="1:5" x14ac:dyDescent="0.25">
      <c r="A18" t="s">
        <v>160</v>
      </c>
      <c r="B18" t="s">
        <v>65</v>
      </c>
      <c r="C18" t="s">
        <v>102</v>
      </c>
      <c r="D18" s="6">
        <v>4.7</v>
      </c>
      <c r="E18" s="6" t="s">
        <v>10</v>
      </c>
    </row>
    <row r="19" spans="1:5" x14ac:dyDescent="0.25">
      <c r="A19" t="s">
        <v>160</v>
      </c>
      <c r="B19" t="s">
        <v>66</v>
      </c>
      <c r="C19" t="s">
        <v>103</v>
      </c>
      <c r="D19" s="6">
        <v>4.4000000000000004</v>
      </c>
      <c r="E19" s="6" t="s">
        <v>10</v>
      </c>
    </row>
    <row r="20" spans="1:5" x14ac:dyDescent="0.25">
      <c r="A20" t="s">
        <v>160</v>
      </c>
      <c r="B20" t="s">
        <v>67</v>
      </c>
      <c r="C20" t="s">
        <v>104</v>
      </c>
      <c r="D20" s="6">
        <v>2.9</v>
      </c>
      <c r="E20" s="6" t="s">
        <v>10</v>
      </c>
    </row>
    <row r="21" spans="1:5" x14ac:dyDescent="0.25">
      <c r="A21" t="s">
        <v>160</v>
      </c>
      <c r="B21" t="s">
        <v>68</v>
      </c>
      <c r="C21" t="s">
        <v>159</v>
      </c>
      <c r="D21" s="6">
        <v>5.3</v>
      </c>
      <c r="E21" s="6" t="s">
        <v>10</v>
      </c>
    </row>
    <row r="22" spans="1:5" x14ac:dyDescent="0.25">
      <c r="A22" t="s">
        <v>160</v>
      </c>
      <c r="B22" t="s">
        <v>69</v>
      </c>
      <c r="C22" t="s">
        <v>106</v>
      </c>
      <c r="D22" s="6">
        <v>5</v>
      </c>
      <c r="E22" s="6" t="s">
        <v>10</v>
      </c>
    </row>
    <row r="23" spans="1:5" x14ac:dyDescent="0.25">
      <c r="A23" t="s">
        <v>160</v>
      </c>
      <c r="B23" t="s">
        <v>70</v>
      </c>
      <c r="C23" t="s">
        <v>107</v>
      </c>
      <c r="D23" s="6">
        <v>5.3</v>
      </c>
      <c r="E23" s="6" t="s">
        <v>10</v>
      </c>
    </row>
    <row r="24" spans="1:5" x14ac:dyDescent="0.25">
      <c r="A24" t="s">
        <v>160</v>
      </c>
      <c r="B24" t="s">
        <v>71</v>
      </c>
      <c r="C24" t="s">
        <v>108</v>
      </c>
      <c r="D24" s="6">
        <v>3.2</v>
      </c>
      <c r="E24" s="6" t="s">
        <v>10</v>
      </c>
    </row>
    <row r="25" spans="1:5" x14ac:dyDescent="0.25">
      <c r="A25" t="s">
        <v>160</v>
      </c>
      <c r="B25" t="s">
        <v>72</v>
      </c>
      <c r="C25" t="s">
        <v>109</v>
      </c>
      <c r="D25" s="6">
        <v>4.2</v>
      </c>
      <c r="E25" s="6" t="s">
        <v>10</v>
      </c>
    </row>
    <row r="26" spans="1:5" x14ac:dyDescent="0.25">
      <c r="A26" t="s">
        <v>160</v>
      </c>
      <c r="B26" t="s">
        <v>73</v>
      </c>
      <c r="C26" t="s">
        <v>110</v>
      </c>
      <c r="D26" s="6">
        <v>4</v>
      </c>
      <c r="E26" s="6" t="s">
        <v>10</v>
      </c>
    </row>
    <row r="27" spans="1:5" x14ac:dyDescent="0.25">
      <c r="A27" t="s">
        <v>160</v>
      </c>
      <c r="B27" t="s">
        <v>74</v>
      </c>
      <c r="C27" t="s">
        <v>112</v>
      </c>
      <c r="D27" s="6">
        <v>2.6</v>
      </c>
      <c r="E27" s="6" t="s">
        <v>10</v>
      </c>
    </row>
    <row r="28" spans="1:5" x14ac:dyDescent="0.25">
      <c r="A28" t="s">
        <v>160</v>
      </c>
      <c r="B28" t="s">
        <v>75</v>
      </c>
      <c r="C28" t="s">
        <v>113</v>
      </c>
      <c r="D28" s="6">
        <v>3.2</v>
      </c>
      <c r="E28" s="6" t="s">
        <v>10</v>
      </c>
    </row>
    <row r="29" spans="1:5" x14ac:dyDescent="0.25">
      <c r="A29" t="s">
        <v>160</v>
      </c>
      <c r="B29" t="s">
        <v>76</v>
      </c>
      <c r="C29" t="s">
        <v>115</v>
      </c>
      <c r="D29" s="6">
        <v>3.2</v>
      </c>
      <c r="E29" s="6" t="s">
        <v>10</v>
      </c>
    </row>
    <row r="30" spans="1:5" x14ac:dyDescent="0.25">
      <c r="A30" t="s">
        <v>160</v>
      </c>
      <c r="B30" t="s">
        <v>77</v>
      </c>
      <c r="C30" t="s">
        <v>117</v>
      </c>
      <c r="D30" s="6">
        <v>4.7</v>
      </c>
      <c r="E30" s="6" t="s">
        <v>10</v>
      </c>
    </row>
    <row r="31" spans="1:5" x14ac:dyDescent="0.25">
      <c r="A31" t="s">
        <v>160</v>
      </c>
      <c r="B31" t="s">
        <v>78</v>
      </c>
      <c r="C31" t="s">
        <v>118</v>
      </c>
      <c r="D31" s="6">
        <v>5.3</v>
      </c>
      <c r="E31" s="6" t="s">
        <v>10</v>
      </c>
    </row>
    <row r="32" spans="1:5" x14ac:dyDescent="0.25">
      <c r="A32" t="s">
        <v>160</v>
      </c>
      <c r="B32" t="s">
        <v>79</v>
      </c>
      <c r="C32" t="s">
        <v>120</v>
      </c>
      <c r="D32" s="6">
        <v>4.2</v>
      </c>
      <c r="E32" s="6" t="s">
        <v>10</v>
      </c>
    </row>
    <row r="33" spans="1:5" x14ac:dyDescent="0.25">
      <c r="A33" t="s">
        <v>161</v>
      </c>
      <c r="B33" t="s">
        <v>49</v>
      </c>
      <c r="C33" t="s">
        <v>121</v>
      </c>
      <c r="D33" s="6">
        <v>4.2</v>
      </c>
      <c r="E33" s="6" t="s">
        <v>10</v>
      </c>
    </row>
    <row r="34" spans="1:5" x14ac:dyDescent="0.25">
      <c r="A34" t="s">
        <v>161</v>
      </c>
      <c r="B34" t="s">
        <v>50</v>
      </c>
      <c r="C34" t="s">
        <v>162</v>
      </c>
      <c r="D34" s="6">
        <v>5</v>
      </c>
      <c r="E34" s="6" t="s">
        <v>10</v>
      </c>
    </row>
    <row r="35" spans="1:5" x14ac:dyDescent="0.25">
      <c r="A35" t="s">
        <v>161</v>
      </c>
      <c r="B35" t="s">
        <v>51</v>
      </c>
      <c r="C35" s="9" t="s">
        <v>123</v>
      </c>
      <c r="D35" s="6">
        <v>3.5</v>
      </c>
      <c r="E35" s="6" t="s">
        <v>10</v>
      </c>
    </row>
    <row r="36" spans="1:5" x14ac:dyDescent="0.25">
      <c r="A36" t="s">
        <v>161</v>
      </c>
      <c r="B36" t="s">
        <v>52</v>
      </c>
      <c r="C36" s="9" t="s">
        <v>124</v>
      </c>
      <c r="D36" s="6">
        <v>4.7</v>
      </c>
      <c r="E36" s="6" t="s">
        <v>10</v>
      </c>
    </row>
    <row r="37" spans="1:5" x14ac:dyDescent="0.25">
      <c r="A37" t="s">
        <v>161</v>
      </c>
      <c r="B37" t="s">
        <v>53</v>
      </c>
      <c r="C37" s="9" t="s">
        <v>125</v>
      </c>
      <c r="D37" s="6">
        <v>6.1</v>
      </c>
      <c r="E37" s="6" t="s">
        <v>10</v>
      </c>
    </row>
    <row r="38" spans="1:5" x14ac:dyDescent="0.25">
      <c r="A38" t="s">
        <v>161</v>
      </c>
      <c r="B38" t="s">
        <v>54</v>
      </c>
      <c r="C38" s="9" t="s">
        <v>126</v>
      </c>
      <c r="D38" s="6">
        <v>5.8</v>
      </c>
      <c r="E38" s="6" t="s">
        <v>10</v>
      </c>
    </row>
    <row r="39" spans="1:5" x14ac:dyDescent="0.25">
      <c r="A39" t="s">
        <v>161</v>
      </c>
      <c r="B39" t="s">
        <v>55</v>
      </c>
      <c r="C39" s="9" t="s">
        <v>127</v>
      </c>
      <c r="D39" s="6">
        <v>7.6</v>
      </c>
      <c r="E39" s="6" t="s">
        <v>9</v>
      </c>
    </row>
    <row r="40" spans="1:5" x14ac:dyDescent="0.25">
      <c r="A40" t="s">
        <v>161</v>
      </c>
      <c r="B40" t="s">
        <v>56</v>
      </c>
      <c r="C40" s="9" t="s">
        <v>128</v>
      </c>
      <c r="D40" s="6">
        <v>3.2</v>
      </c>
      <c r="E40" s="6" t="s">
        <v>10</v>
      </c>
    </row>
    <row r="41" spans="1:5" x14ac:dyDescent="0.25">
      <c r="A41" t="s">
        <v>161</v>
      </c>
      <c r="B41" t="s">
        <v>57</v>
      </c>
      <c r="C41" s="9" t="s">
        <v>129</v>
      </c>
      <c r="D41" s="6">
        <v>4.0999999999999996</v>
      </c>
      <c r="E41" s="6" t="s">
        <v>10</v>
      </c>
    </row>
    <row r="42" spans="1:5" x14ac:dyDescent="0.25">
      <c r="A42" t="s">
        <v>161</v>
      </c>
      <c r="B42" t="s">
        <v>58</v>
      </c>
      <c r="C42" s="9" t="s">
        <v>131</v>
      </c>
      <c r="D42" s="6">
        <v>4</v>
      </c>
      <c r="E42" s="6" t="s">
        <v>10</v>
      </c>
    </row>
    <row r="43" spans="1:5" x14ac:dyDescent="0.25">
      <c r="A43" t="s">
        <v>161</v>
      </c>
      <c r="B43" t="s">
        <v>59</v>
      </c>
      <c r="C43" s="9" t="s">
        <v>132</v>
      </c>
      <c r="D43" s="6">
        <v>4.7</v>
      </c>
      <c r="E43" s="6" t="s">
        <v>10</v>
      </c>
    </row>
    <row r="44" spans="1:5" x14ac:dyDescent="0.25">
      <c r="A44" t="s">
        <v>161</v>
      </c>
      <c r="B44" t="s">
        <v>60</v>
      </c>
      <c r="C44" s="9" t="s">
        <v>133</v>
      </c>
      <c r="D44" s="6">
        <v>6.1</v>
      </c>
      <c r="E44" s="6" t="s">
        <v>10</v>
      </c>
    </row>
    <row r="45" spans="1:5" x14ac:dyDescent="0.25">
      <c r="A45" t="s">
        <v>161</v>
      </c>
      <c r="B45" t="s">
        <v>61</v>
      </c>
      <c r="C45" s="9" t="s">
        <v>134</v>
      </c>
      <c r="D45" s="6">
        <v>3.7</v>
      </c>
      <c r="E45" s="6" t="s">
        <v>10</v>
      </c>
    </row>
    <row r="46" spans="1:5" x14ac:dyDescent="0.25">
      <c r="A46" t="s">
        <v>161</v>
      </c>
      <c r="B46" t="s">
        <v>62</v>
      </c>
      <c r="C46" s="9" t="s">
        <v>135</v>
      </c>
      <c r="D46" s="6">
        <v>4.2</v>
      </c>
      <c r="E46" s="6" t="s">
        <v>10</v>
      </c>
    </row>
    <row r="47" spans="1:5" x14ac:dyDescent="0.25">
      <c r="A47" t="s">
        <v>161</v>
      </c>
      <c r="B47" t="s">
        <v>63</v>
      </c>
      <c r="C47" t="s">
        <v>136</v>
      </c>
      <c r="D47" s="6">
        <v>4.7</v>
      </c>
      <c r="E47" s="6" t="s">
        <v>10</v>
      </c>
    </row>
    <row r="48" spans="1:5" x14ac:dyDescent="0.25">
      <c r="A48" t="s">
        <v>161</v>
      </c>
      <c r="B48" t="s">
        <v>64</v>
      </c>
      <c r="C48" t="s">
        <v>137</v>
      </c>
      <c r="D48" s="6">
        <v>6.5</v>
      </c>
      <c r="E48" s="6" t="s">
        <v>10</v>
      </c>
    </row>
    <row r="49" spans="1:5" x14ac:dyDescent="0.25">
      <c r="A49" t="s">
        <v>161</v>
      </c>
      <c r="B49" t="s">
        <v>65</v>
      </c>
      <c r="C49" t="s">
        <v>138</v>
      </c>
      <c r="D49" s="6">
        <v>4.2</v>
      </c>
      <c r="E49" s="6" t="s">
        <v>10</v>
      </c>
    </row>
    <row r="50" spans="1:5" x14ac:dyDescent="0.25">
      <c r="A50" t="s">
        <v>161</v>
      </c>
      <c r="B50" t="s">
        <v>66</v>
      </c>
      <c r="C50" t="s">
        <v>139</v>
      </c>
      <c r="D50" s="6">
        <v>6.5</v>
      </c>
      <c r="E50" s="6" t="s">
        <v>10</v>
      </c>
    </row>
    <row r="51" spans="1:5" x14ac:dyDescent="0.25">
      <c r="A51" t="s">
        <v>161</v>
      </c>
      <c r="B51" t="s">
        <v>67</v>
      </c>
      <c r="C51" t="s">
        <v>141</v>
      </c>
      <c r="D51" s="6">
        <v>5.3</v>
      </c>
      <c r="E51" s="6" t="s">
        <v>10</v>
      </c>
    </row>
    <row r="52" spans="1:5" x14ac:dyDescent="0.25">
      <c r="A52" t="s">
        <v>161</v>
      </c>
      <c r="B52" t="s">
        <v>68</v>
      </c>
      <c r="C52" t="s">
        <v>163</v>
      </c>
      <c r="D52" s="6">
        <v>4.7</v>
      </c>
      <c r="E52" s="6" t="s">
        <v>10</v>
      </c>
    </row>
    <row r="53" spans="1:5" x14ac:dyDescent="0.25">
      <c r="A53" t="s">
        <v>161</v>
      </c>
      <c r="B53" t="s">
        <v>69</v>
      </c>
      <c r="C53" t="s">
        <v>143</v>
      </c>
      <c r="D53" s="6">
        <v>5.3</v>
      </c>
      <c r="E53" s="6" t="s">
        <v>10</v>
      </c>
    </row>
    <row r="54" spans="1:5" x14ac:dyDescent="0.25">
      <c r="A54" t="s">
        <v>161</v>
      </c>
      <c r="B54" t="s">
        <v>70</v>
      </c>
      <c r="C54" t="s">
        <v>144</v>
      </c>
      <c r="D54" s="6">
        <v>3.2</v>
      </c>
      <c r="E54" s="6" t="s">
        <v>10</v>
      </c>
    </row>
    <row r="55" spans="1:5" x14ac:dyDescent="0.25">
      <c r="A55" t="s">
        <v>161</v>
      </c>
      <c r="B55" t="s">
        <v>71</v>
      </c>
      <c r="C55" t="s">
        <v>145</v>
      </c>
      <c r="D55" s="6">
        <v>5.3</v>
      </c>
      <c r="E55" s="6" t="s">
        <v>10</v>
      </c>
    </row>
    <row r="56" spans="1:5" x14ac:dyDescent="0.25">
      <c r="A56" t="s">
        <v>161</v>
      </c>
      <c r="B56" t="s">
        <v>72</v>
      </c>
      <c r="C56" t="s">
        <v>146</v>
      </c>
      <c r="D56" s="6">
        <v>5.9</v>
      </c>
      <c r="E56" s="6" t="s">
        <v>10</v>
      </c>
    </row>
    <row r="57" spans="1:5" x14ac:dyDescent="0.25">
      <c r="A57" t="s">
        <v>161</v>
      </c>
      <c r="B57" t="s">
        <v>73</v>
      </c>
      <c r="C57" t="s">
        <v>148</v>
      </c>
      <c r="D57" s="6">
        <v>2.6</v>
      </c>
      <c r="E57" s="6" t="s">
        <v>10</v>
      </c>
    </row>
    <row r="58" spans="1:5" x14ac:dyDescent="0.25">
      <c r="A58" t="s">
        <v>161</v>
      </c>
      <c r="B58" t="s">
        <v>74</v>
      </c>
      <c r="C58" t="s">
        <v>151</v>
      </c>
      <c r="D58" s="6">
        <v>4.7</v>
      </c>
      <c r="E58" s="6" t="s">
        <v>10</v>
      </c>
    </row>
    <row r="59" spans="1:5" x14ac:dyDescent="0.25">
      <c r="A59" t="s">
        <v>161</v>
      </c>
      <c r="B59" t="s">
        <v>75</v>
      </c>
      <c r="C59" t="s">
        <v>152</v>
      </c>
      <c r="D59" s="6">
        <v>7.5</v>
      </c>
      <c r="E59" s="6" t="s">
        <v>11</v>
      </c>
    </row>
    <row r="60" spans="1:5" x14ac:dyDescent="0.25">
      <c r="A60" t="s">
        <v>161</v>
      </c>
      <c r="B60" t="s">
        <v>76</v>
      </c>
      <c r="C60" t="s">
        <v>153</v>
      </c>
      <c r="D60" s="6">
        <v>5.8</v>
      </c>
      <c r="E60" s="6" t="s">
        <v>10</v>
      </c>
    </row>
    <row r="61" spans="1:5" x14ac:dyDescent="0.25">
      <c r="A61" t="s">
        <v>161</v>
      </c>
      <c r="B61" t="s">
        <v>77</v>
      </c>
      <c r="C61" t="s">
        <v>154</v>
      </c>
      <c r="D61" s="6">
        <v>3.9</v>
      </c>
      <c r="E61" s="6" t="s">
        <v>10</v>
      </c>
    </row>
    <row r="62" spans="1:5" x14ac:dyDescent="0.25">
      <c r="A62" t="s">
        <v>161</v>
      </c>
      <c r="B62" t="s">
        <v>78</v>
      </c>
      <c r="C62" t="s">
        <v>155</v>
      </c>
      <c r="D62" s="6">
        <v>3.2</v>
      </c>
      <c r="E62" s="6" t="s">
        <v>10</v>
      </c>
    </row>
    <row r="63" spans="1:5" x14ac:dyDescent="0.25">
      <c r="A63" t="s">
        <v>161</v>
      </c>
      <c r="B63" t="s">
        <v>79</v>
      </c>
      <c r="C63" t="s">
        <v>156</v>
      </c>
      <c r="D63" s="6">
        <v>4.0999999999999996</v>
      </c>
      <c r="E63" s="6" t="s">
        <v>10</v>
      </c>
    </row>
    <row r="64" spans="1:5" x14ac:dyDescent="0.25">
      <c r="A64" t="s">
        <v>161</v>
      </c>
      <c r="B64" t="s">
        <v>80</v>
      </c>
      <c r="C64" t="s">
        <v>157</v>
      </c>
      <c r="D64" s="6">
        <v>4.7</v>
      </c>
      <c r="E64" s="6" t="s">
        <v>10</v>
      </c>
    </row>
    <row r="65" spans="1:5" x14ac:dyDescent="0.25">
      <c r="A65" t="s">
        <v>164</v>
      </c>
      <c r="B65" t="s">
        <v>49</v>
      </c>
      <c r="C65" t="s">
        <v>98</v>
      </c>
      <c r="D65" s="6">
        <v>4.4000000000000004</v>
      </c>
      <c r="E65" s="6" t="s">
        <v>10</v>
      </c>
    </row>
  </sheetData>
  <phoneticPr fontId="6" type="noConversion"/>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D47FB-DC13-43AA-AC4D-5669F27A4C5A}">
  <sheetPr>
    <tabColor theme="9"/>
  </sheetPr>
  <dimension ref="A1:AE72"/>
  <sheetViews>
    <sheetView workbookViewId="0">
      <pane ySplit="1" topLeftCell="A2" activePane="bottomLeft" state="frozen"/>
      <selection pane="bottomLeft" activeCell="A2" sqref="A2"/>
    </sheetView>
  </sheetViews>
  <sheetFormatPr baseColWidth="10" defaultRowHeight="15" x14ac:dyDescent="0.25"/>
  <cols>
    <col min="1" max="1" width="14" bestFit="1" customWidth="1"/>
    <col min="2" max="2" width="10.140625" style="6" bestFit="1" customWidth="1"/>
    <col min="3" max="3" width="49.28515625" bestFit="1" customWidth="1"/>
    <col min="4" max="12" width="5.7109375" style="6" customWidth="1"/>
    <col min="13" max="17" width="6.7109375" style="6" customWidth="1"/>
    <col min="18" max="23" width="5.7109375" style="6" customWidth="1"/>
    <col min="24" max="24" width="7.42578125" bestFit="1" customWidth="1"/>
    <col min="25" max="25" width="8.7109375" bestFit="1" customWidth="1"/>
    <col min="26" max="26" width="14.5703125" customWidth="1"/>
    <col min="27" max="27" width="16.85546875" bestFit="1" customWidth="1"/>
    <col min="28" max="28" width="17.28515625" bestFit="1" customWidth="1"/>
    <col min="29" max="29" width="20.7109375" customWidth="1"/>
    <col min="31" max="31" width="20.7109375" customWidth="1"/>
    <col min="32" max="32" width="12" bestFit="1" customWidth="1"/>
  </cols>
  <sheetData>
    <row r="1" spans="1:31" s="11" customFormat="1" ht="30" x14ac:dyDescent="0.25">
      <c r="A1" s="12" t="s">
        <v>83</v>
      </c>
      <c r="B1" s="13" t="s">
        <v>48</v>
      </c>
      <c r="C1" s="12" t="s">
        <v>7</v>
      </c>
      <c r="D1" s="18" t="s">
        <v>18</v>
      </c>
      <c r="E1" s="18" t="s">
        <v>19</v>
      </c>
      <c r="F1" s="18" t="s">
        <v>20</v>
      </c>
      <c r="G1" s="18" t="s">
        <v>21</v>
      </c>
      <c r="H1" s="18" t="s">
        <v>22</v>
      </c>
      <c r="I1" s="18" t="s">
        <v>23</v>
      </c>
      <c r="J1" s="18" t="s">
        <v>24</v>
      </c>
      <c r="K1" s="18" t="s">
        <v>25</v>
      </c>
      <c r="L1" s="18" t="s">
        <v>26</v>
      </c>
      <c r="M1" s="18" t="s">
        <v>27</v>
      </c>
      <c r="N1" s="18" t="s">
        <v>28</v>
      </c>
      <c r="O1" s="18" t="s">
        <v>29</v>
      </c>
      <c r="P1" s="18" t="s">
        <v>30</v>
      </c>
      <c r="Q1" s="18" t="s">
        <v>31</v>
      </c>
      <c r="R1" s="18" t="s">
        <v>36</v>
      </c>
      <c r="S1" s="18" t="s">
        <v>37</v>
      </c>
      <c r="T1" s="18" t="s">
        <v>38</v>
      </c>
      <c r="U1" s="18" t="s">
        <v>39</v>
      </c>
      <c r="V1" s="18" t="s">
        <v>40</v>
      </c>
      <c r="W1" s="18" t="s">
        <v>41</v>
      </c>
      <c r="X1" s="19" t="s">
        <v>45</v>
      </c>
      <c r="Y1" s="19" t="s">
        <v>46</v>
      </c>
      <c r="Z1" s="19" t="s">
        <v>166</v>
      </c>
      <c r="AA1" s="19" t="s">
        <v>174</v>
      </c>
      <c r="AB1" s="19" t="s">
        <v>168</v>
      </c>
      <c r="AC1" s="13" t="s">
        <v>44</v>
      </c>
      <c r="AD1" s="19" t="s">
        <v>167</v>
      </c>
      <c r="AE1" s="13" t="s">
        <v>47</v>
      </c>
    </row>
    <row r="2" spans="1:31" x14ac:dyDescent="0.25">
      <c r="A2" t="s">
        <v>160</v>
      </c>
      <c r="B2" s="6" t="s">
        <v>49</v>
      </c>
      <c r="C2" t="s">
        <v>84</v>
      </c>
      <c r="D2" s="16" t="s">
        <v>35</v>
      </c>
      <c r="E2" s="16" t="s">
        <v>32</v>
      </c>
      <c r="F2" s="16" t="s">
        <v>35</v>
      </c>
      <c r="G2" s="16" t="s">
        <v>34</v>
      </c>
      <c r="H2" s="16" t="s">
        <v>32</v>
      </c>
      <c r="I2" s="16" t="s">
        <v>32</v>
      </c>
      <c r="J2" s="16" t="s">
        <v>32</v>
      </c>
      <c r="K2" s="16" t="s">
        <v>35</v>
      </c>
      <c r="L2" s="16" t="s">
        <v>35</v>
      </c>
      <c r="M2" s="16" t="s">
        <v>35</v>
      </c>
      <c r="N2" s="16" t="s">
        <v>35</v>
      </c>
      <c r="O2" s="16" t="s">
        <v>32</v>
      </c>
      <c r="P2" s="16" t="s">
        <v>35</v>
      </c>
      <c r="Q2" s="16" t="s">
        <v>32</v>
      </c>
      <c r="R2" s="16" t="s">
        <v>32</v>
      </c>
      <c r="S2" s="16" t="s">
        <v>35</v>
      </c>
      <c r="T2" s="16" t="s">
        <v>35</v>
      </c>
      <c r="U2" s="16" t="s">
        <v>32</v>
      </c>
      <c r="V2" s="16" t="s">
        <v>32</v>
      </c>
      <c r="W2" s="16" t="s">
        <v>32</v>
      </c>
      <c r="X2">
        <f t="shared" ref="X2:X33" si="0">COUNTIF(D2:Q2,"0 F")</f>
        <v>6</v>
      </c>
      <c r="Y2">
        <f t="shared" ref="Y2:Y33" si="1">COUNTIF(R2:W2,"0 F")</f>
        <v>4</v>
      </c>
      <c r="Z2" s="6">
        <v>4.7</v>
      </c>
      <c r="AA2" s="27">
        <f>10*(COUNTIF(Tabla1[[#This Row],[1.1]:[2.6]],"1 P")+0.5*COUNTIF(Tabla1[[#This Row],[1.1]:[2.6]],"0.5 "))/(COUNTIF(Tabla1[[#This Row],[1.1]:[2.6]],"1 P")+COUNTIF(Tabla1[[#This Row],[1.1]:[2.6]],"0 F")+COUNTIF(Tabla1[[#This Row],[1.1]:[2.6]],"0.5 P"))</f>
        <v>4.7368421052631575</v>
      </c>
      <c r="AB2"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5.2941176470588234</v>
      </c>
      <c r="AC2" s="6" t="s">
        <v>10</v>
      </c>
      <c r="AD2" s="6" t="str">
        <f>IF(X2&gt;2,"No válido",IF(Y2&lt;3,"AA","A"))</f>
        <v>No válido</v>
      </c>
      <c r="AE2" s="6" t="str">
        <f>IF(X2&gt;3,"No válido",IF(Y2&lt;4,"AA","A"))</f>
        <v>No válido</v>
      </c>
    </row>
    <row r="3" spans="1:31" x14ac:dyDescent="0.25">
      <c r="A3" t="s">
        <v>160</v>
      </c>
      <c r="B3" s="6" t="s">
        <v>50</v>
      </c>
      <c r="C3" t="s">
        <v>158</v>
      </c>
      <c r="D3" s="16" t="s">
        <v>35</v>
      </c>
      <c r="E3" s="16" t="s">
        <v>32</v>
      </c>
      <c r="F3" s="16" t="s">
        <v>35</v>
      </c>
      <c r="G3" s="16" t="s">
        <v>34</v>
      </c>
      <c r="H3" s="16" t="s">
        <v>32</v>
      </c>
      <c r="I3" s="16" t="s">
        <v>32</v>
      </c>
      <c r="J3" s="16" t="s">
        <v>32</v>
      </c>
      <c r="K3" s="16" t="s">
        <v>35</v>
      </c>
      <c r="L3" s="16" t="s">
        <v>32</v>
      </c>
      <c r="M3" s="16" t="s">
        <v>35</v>
      </c>
      <c r="N3" s="16" t="s">
        <v>32</v>
      </c>
      <c r="O3" s="16" t="s">
        <v>35</v>
      </c>
      <c r="P3" s="16" t="s">
        <v>35</v>
      </c>
      <c r="Q3" s="16" t="s">
        <v>32</v>
      </c>
      <c r="R3" s="16" t="s">
        <v>32</v>
      </c>
      <c r="S3" s="16" t="s">
        <v>35</v>
      </c>
      <c r="T3" s="16" t="s">
        <v>35</v>
      </c>
      <c r="U3" s="16" t="s">
        <v>35</v>
      </c>
      <c r="V3" s="16" t="s">
        <v>35</v>
      </c>
      <c r="W3" s="16" t="s">
        <v>35</v>
      </c>
      <c r="X3">
        <f t="shared" si="0"/>
        <v>7</v>
      </c>
      <c r="Y3">
        <f t="shared" si="1"/>
        <v>1</v>
      </c>
      <c r="Z3" s="6">
        <v>5.8</v>
      </c>
      <c r="AA3" s="27">
        <f>10*(COUNTIF(Tabla1[[#This Row],[1.1]:[2.6]],"1 P")+0.5*COUNTIF(Tabla1[[#This Row],[1.1]:[2.6]],"0.5 "))/(COUNTIF(Tabla1[[#This Row],[1.1]:[2.6]],"1 P")+COUNTIF(Tabla1[[#This Row],[1.1]:[2.6]],"0 F")+COUNTIF(Tabla1[[#This Row],[1.1]:[2.6]],"0.5 P"))</f>
        <v>5.7894736842105265</v>
      </c>
      <c r="AB3"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6.4705882352941178</v>
      </c>
      <c r="AC3" s="6" t="s">
        <v>10</v>
      </c>
      <c r="AD3" s="6" t="str">
        <f>IF(X3&gt;2,"No válido",IF(Y3&lt;3,"AA","A"))</f>
        <v>No válido</v>
      </c>
      <c r="AE3" s="6" t="str">
        <f>IF(X3&gt;3,"No válido",IF(Y3&lt;4,"AA","A"))</f>
        <v>No válido</v>
      </c>
    </row>
    <row r="4" spans="1:31" x14ac:dyDescent="0.25">
      <c r="A4" t="s">
        <v>160</v>
      </c>
      <c r="B4" s="6" t="s">
        <v>51</v>
      </c>
      <c r="C4" t="s">
        <v>86</v>
      </c>
      <c r="D4" s="16" t="s">
        <v>32</v>
      </c>
      <c r="E4" s="16" t="s">
        <v>32</v>
      </c>
      <c r="F4" s="16" t="s">
        <v>35</v>
      </c>
      <c r="G4" s="16" t="s">
        <v>34</v>
      </c>
      <c r="H4" s="16" t="s">
        <v>35</v>
      </c>
      <c r="I4" s="16" t="s">
        <v>35</v>
      </c>
      <c r="J4" s="16" t="s">
        <v>32</v>
      </c>
      <c r="K4" s="16" t="s">
        <v>35</v>
      </c>
      <c r="L4" s="16" t="s">
        <v>32</v>
      </c>
      <c r="M4" s="16" t="s">
        <v>35</v>
      </c>
      <c r="N4" s="16" t="s">
        <v>35</v>
      </c>
      <c r="O4" s="16" t="s">
        <v>32</v>
      </c>
      <c r="P4" s="16" t="s">
        <v>35</v>
      </c>
      <c r="Q4" s="16" t="s">
        <v>35</v>
      </c>
      <c r="R4" s="16" t="s">
        <v>32</v>
      </c>
      <c r="S4" s="16" t="s">
        <v>32</v>
      </c>
      <c r="T4" s="16" t="s">
        <v>35</v>
      </c>
      <c r="U4" s="16" t="s">
        <v>35</v>
      </c>
      <c r="V4" s="16" t="s">
        <v>32</v>
      </c>
      <c r="W4" s="16" t="s">
        <v>35</v>
      </c>
      <c r="X4">
        <f t="shared" si="0"/>
        <v>5</v>
      </c>
      <c r="Y4">
        <f t="shared" si="1"/>
        <v>3</v>
      </c>
      <c r="Z4" s="6">
        <v>5.8</v>
      </c>
      <c r="AA4" s="27">
        <f>10*(COUNTIF(Tabla1[[#This Row],[1.1]:[2.6]],"1 P")+0.5*COUNTIF(Tabla1[[#This Row],[1.1]:[2.6]],"0.5 "))/(COUNTIF(Tabla1[[#This Row],[1.1]:[2.6]],"1 P")+COUNTIF(Tabla1[[#This Row],[1.1]:[2.6]],"0 F")+COUNTIF(Tabla1[[#This Row],[1.1]:[2.6]],"0.5 P"))</f>
        <v>5.7894736842105265</v>
      </c>
      <c r="AB4"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6.4705882352941178</v>
      </c>
      <c r="AC4" s="6" t="s">
        <v>10</v>
      </c>
      <c r="AD4" s="6" t="str">
        <f>IF(X4&gt;2,"No válido",IF(Y4&lt;3,"AA","A"))</f>
        <v>No válido</v>
      </c>
      <c r="AE4" s="6" t="str">
        <f>IF(X4&gt;3,"No válido",IF(Y4&lt;4,"AA","A"))</f>
        <v>No válido</v>
      </c>
    </row>
    <row r="5" spans="1:31" x14ac:dyDescent="0.25">
      <c r="A5" t="s">
        <v>160</v>
      </c>
      <c r="B5" s="6" t="s">
        <v>52</v>
      </c>
      <c r="C5" t="s">
        <v>87</v>
      </c>
      <c r="D5" s="16" t="s">
        <v>35</v>
      </c>
      <c r="E5" s="16" t="s">
        <v>32</v>
      </c>
      <c r="F5" s="16" t="s">
        <v>35</v>
      </c>
      <c r="G5" s="16" t="s">
        <v>35</v>
      </c>
      <c r="H5" s="16" t="s">
        <v>32</v>
      </c>
      <c r="I5" s="16" t="s">
        <v>35</v>
      </c>
      <c r="J5" s="16" t="s">
        <v>32</v>
      </c>
      <c r="K5" s="16" t="s">
        <v>32</v>
      </c>
      <c r="L5" s="16" t="s">
        <v>35</v>
      </c>
      <c r="M5" s="16" t="s">
        <v>34</v>
      </c>
      <c r="N5" s="16" t="s">
        <v>35</v>
      </c>
      <c r="O5" s="16" t="s">
        <v>32</v>
      </c>
      <c r="P5" s="16" t="s">
        <v>35</v>
      </c>
      <c r="Q5" s="16" t="s">
        <v>32</v>
      </c>
      <c r="R5" s="16" t="s">
        <v>32</v>
      </c>
      <c r="S5" s="16" t="s">
        <v>35</v>
      </c>
      <c r="T5" s="16" t="s">
        <v>35</v>
      </c>
      <c r="U5" s="16" t="s">
        <v>32</v>
      </c>
      <c r="V5" s="16" t="s">
        <v>35</v>
      </c>
      <c r="W5" s="16" t="s">
        <v>35</v>
      </c>
      <c r="X5">
        <f t="shared" si="0"/>
        <v>6</v>
      </c>
      <c r="Y5">
        <f t="shared" si="1"/>
        <v>2</v>
      </c>
      <c r="Z5" s="6">
        <v>5.8</v>
      </c>
      <c r="AA5" s="27">
        <f>10*(COUNTIF(Tabla1[[#This Row],[1.1]:[2.6]],"1 P")+0.5*COUNTIF(Tabla1[[#This Row],[1.1]:[2.6]],"0.5 "))/(COUNTIF(Tabla1[[#This Row],[1.1]:[2.6]],"1 P")+COUNTIF(Tabla1[[#This Row],[1.1]:[2.6]],"0 F")+COUNTIF(Tabla1[[#This Row],[1.1]:[2.6]],"0.5 P"))</f>
        <v>5.7894736842105265</v>
      </c>
      <c r="AB5"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6.4705882352941178</v>
      </c>
      <c r="AC5" s="6" t="s">
        <v>10</v>
      </c>
      <c r="AD5" s="6" t="str">
        <f>IF(X5&gt;2,"No válido",IF(Y5&lt;3,"AA","A"))</f>
        <v>No válido</v>
      </c>
      <c r="AE5" s="6" t="str">
        <f>IF(X5&gt;3,"No válido",IF(Y5&lt;4,"AA","A"))</f>
        <v>No válido</v>
      </c>
    </row>
    <row r="6" spans="1:31" x14ac:dyDescent="0.25">
      <c r="A6" t="s">
        <v>160</v>
      </c>
      <c r="B6" s="6" t="s">
        <v>53</v>
      </c>
      <c r="C6" t="s">
        <v>88</v>
      </c>
      <c r="D6" s="16" t="s">
        <v>32</v>
      </c>
      <c r="E6" s="16" t="s">
        <v>32</v>
      </c>
      <c r="F6" s="16" t="s">
        <v>35</v>
      </c>
      <c r="G6" s="16" t="s">
        <v>34</v>
      </c>
      <c r="H6" s="16" t="s">
        <v>32</v>
      </c>
      <c r="I6" s="16" t="s">
        <v>35</v>
      </c>
      <c r="J6" s="16" t="s">
        <v>32</v>
      </c>
      <c r="K6" s="16" t="s">
        <v>35</v>
      </c>
      <c r="L6" s="16" t="s">
        <v>32</v>
      </c>
      <c r="M6" s="16" t="s">
        <v>35</v>
      </c>
      <c r="N6" s="16" t="s">
        <v>35</v>
      </c>
      <c r="O6" s="16" t="s">
        <v>32</v>
      </c>
      <c r="P6" s="16" t="s">
        <v>35</v>
      </c>
      <c r="Q6" s="16" t="s">
        <v>35</v>
      </c>
      <c r="R6" s="16" t="s">
        <v>32</v>
      </c>
      <c r="S6" s="16" t="s">
        <v>35</v>
      </c>
      <c r="T6" s="16" t="s">
        <v>35</v>
      </c>
      <c r="U6" s="16" t="s">
        <v>32</v>
      </c>
      <c r="V6" s="16" t="s">
        <v>35</v>
      </c>
      <c r="W6" s="16" t="s">
        <v>35</v>
      </c>
      <c r="X6">
        <f t="shared" si="0"/>
        <v>6</v>
      </c>
      <c r="Y6">
        <f t="shared" si="1"/>
        <v>2</v>
      </c>
      <c r="Z6" s="6">
        <v>5.8</v>
      </c>
      <c r="AA6" s="27">
        <f>10*(COUNTIF(Tabla1[[#This Row],[1.1]:[2.6]],"1 P")+0.5*COUNTIF(Tabla1[[#This Row],[1.1]:[2.6]],"0.5 "))/(COUNTIF(Tabla1[[#This Row],[1.1]:[2.6]],"1 P")+COUNTIF(Tabla1[[#This Row],[1.1]:[2.6]],"0 F")+COUNTIF(Tabla1[[#This Row],[1.1]:[2.6]],"0.5 P"))</f>
        <v>5.7894736842105265</v>
      </c>
      <c r="AB6"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6.4705882352941178</v>
      </c>
      <c r="AC6" s="6" t="s">
        <v>10</v>
      </c>
      <c r="AD6" s="6" t="str">
        <f>IF(X6&gt;2,"No válido",IF(Y6&lt;3,"AA","A"))</f>
        <v>No válido</v>
      </c>
      <c r="AE6" s="6" t="str">
        <f>IF(X6&gt;3,"No válido",IF(Y6&lt;4,"AA","A"))</f>
        <v>No válido</v>
      </c>
    </row>
    <row r="7" spans="1:31" x14ac:dyDescent="0.25">
      <c r="A7" t="s">
        <v>160</v>
      </c>
      <c r="B7" s="6" t="s">
        <v>54</v>
      </c>
      <c r="C7" t="s">
        <v>90</v>
      </c>
      <c r="D7" s="16" t="s">
        <v>35</v>
      </c>
      <c r="E7" s="16" t="s">
        <v>32</v>
      </c>
      <c r="F7" s="16" t="s">
        <v>32</v>
      </c>
      <c r="G7" s="16" t="s">
        <v>34</v>
      </c>
      <c r="H7" s="16" t="s">
        <v>32</v>
      </c>
      <c r="I7" s="16" t="s">
        <v>32</v>
      </c>
      <c r="J7" s="16" t="s">
        <v>32</v>
      </c>
      <c r="K7" s="16" t="s">
        <v>35</v>
      </c>
      <c r="L7" s="16" t="s">
        <v>32</v>
      </c>
      <c r="M7" s="16" t="s">
        <v>35</v>
      </c>
      <c r="N7" s="16" t="s">
        <v>35</v>
      </c>
      <c r="O7" s="16" t="s">
        <v>32</v>
      </c>
      <c r="P7" s="16" t="s">
        <v>35</v>
      </c>
      <c r="Q7" s="16" t="s">
        <v>32</v>
      </c>
      <c r="R7" s="16" t="s">
        <v>32</v>
      </c>
      <c r="S7" s="16" t="s">
        <v>32</v>
      </c>
      <c r="T7" s="16" t="s">
        <v>35</v>
      </c>
      <c r="U7" s="16" t="s">
        <v>35</v>
      </c>
      <c r="V7" s="16" t="s">
        <v>32</v>
      </c>
      <c r="W7" s="16" t="s">
        <v>35</v>
      </c>
      <c r="X7">
        <f t="shared" si="0"/>
        <v>8</v>
      </c>
      <c r="Y7">
        <f t="shared" si="1"/>
        <v>3</v>
      </c>
      <c r="Z7" s="6">
        <v>4.2</v>
      </c>
      <c r="AA7" s="27">
        <f>10*(COUNTIF(Tabla1[[#This Row],[1.1]:[2.6]],"1 P")+0.5*COUNTIF(Tabla1[[#This Row],[1.1]:[2.6]],"0.5 "))/(COUNTIF(Tabla1[[#This Row],[1.1]:[2.6]],"1 P")+COUNTIF(Tabla1[[#This Row],[1.1]:[2.6]],"0 F")+COUNTIF(Tabla1[[#This Row],[1.1]:[2.6]],"0.5 P"))</f>
        <v>4.2105263157894735</v>
      </c>
      <c r="AB7"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4.7058823529411766</v>
      </c>
      <c r="AC7" s="6" t="s">
        <v>10</v>
      </c>
      <c r="AD7" s="6" t="str">
        <f>IF(X7&gt;2,"No válido",IF(Y7&lt;3,"AA","A"))</f>
        <v>No válido</v>
      </c>
      <c r="AE7" s="6" t="str">
        <f>IF(X7&gt;3,"No válido",IF(Y7&lt;4,"AA","A"))</f>
        <v>No válido</v>
      </c>
    </row>
    <row r="8" spans="1:31" x14ac:dyDescent="0.25">
      <c r="A8" t="s">
        <v>160</v>
      </c>
      <c r="B8" s="6" t="s">
        <v>55</v>
      </c>
      <c r="C8" t="s">
        <v>91</v>
      </c>
      <c r="D8" s="16" t="s">
        <v>35</v>
      </c>
      <c r="E8" s="16" t="s">
        <v>32</v>
      </c>
      <c r="F8" s="16" t="s">
        <v>35</v>
      </c>
      <c r="G8" s="16" t="s">
        <v>34</v>
      </c>
      <c r="H8" s="16" t="s">
        <v>32</v>
      </c>
      <c r="I8" s="16" t="s">
        <v>35</v>
      </c>
      <c r="J8" s="16" t="s">
        <v>32</v>
      </c>
      <c r="K8" s="16" t="s">
        <v>35</v>
      </c>
      <c r="L8" s="16" t="s">
        <v>35</v>
      </c>
      <c r="M8" s="16" t="s">
        <v>34</v>
      </c>
      <c r="N8" s="16" t="s">
        <v>35</v>
      </c>
      <c r="O8" s="16" t="s">
        <v>32</v>
      </c>
      <c r="P8" s="16" t="s">
        <v>35</v>
      </c>
      <c r="Q8" s="16" t="s">
        <v>35</v>
      </c>
      <c r="R8" s="16" t="s">
        <v>32</v>
      </c>
      <c r="S8" s="16" t="s">
        <v>35</v>
      </c>
      <c r="T8" s="16" t="s">
        <v>35</v>
      </c>
      <c r="U8" s="16" t="s">
        <v>32</v>
      </c>
      <c r="V8" s="16" t="s">
        <v>32</v>
      </c>
      <c r="W8" s="16" t="s">
        <v>35</v>
      </c>
      <c r="X8">
        <f t="shared" si="0"/>
        <v>4</v>
      </c>
      <c r="Y8">
        <f t="shared" si="1"/>
        <v>3</v>
      </c>
      <c r="Z8" s="6">
        <v>6.1</v>
      </c>
      <c r="AA8" s="27">
        <f>10*(COUNTIF(Tabla1[[#This Row],[1.1]:[2.6]],"1 P")+0.5*COUNTIF(Tabla1[[#This Row],[1.1]:[2.6]],"0.5 "))/(COUNTIF(Tabla1[[#This Row],[1.1]:[2.6]],"1 P")+COUNTIF(Tabla1[[#This Row],[1.1]:[2.6]],"0 F")+COUNTIF(Tabla1[[#This Row],[1.1]:[2.6]],"0.5 P"))</f>
        <v>6.1111111111111107</v>
      </c>
      <c r="AB8"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6.875</v>
      </c>
      <c r="AC8" s="6" t="s">
        <v>10</v>
      </c>
      <c r="AD8" s="6" t="str">
        <f>IF(X8&gt;2,"No válido",IF(Y8&lt;3,"AA","A"))</f>
        <v>No válido</v>
      </c>
      <c r="AE8" s="6" t="str">
        <f>IF(X8&gt;3,"No válido",IF(Y8&lt;4,"AA","A"))</f>
        <v>No válido</v>
      </c>
    </row>
    <row r="9" spans="1:31" x14ac:dyDescent="0.25">
      <c r="A9" t="s">
        <v>160</v>
      </c>
      <c r="B9" s="6" t="s">
        <v>56</v>
      </c>
      <c r="C9" t="s">
        <v>92</v>
      </c>
      <c r="D9" s="16" t="s">
        <v>32</v>
      </c>
      <c r="E9" s="16" t="s">
        <v>32</v>
      </c>
      <c r="F9" s="16" t="s">
        <v>35</v>
      </c>
      <c r="G9" s="16" t="s">
        <v>34</v>
      </c>
      <c r="H9" s="16" t="s">
        <v>32</v>
      </c>
      <c r="I9" s="16" t="s">
        <v>32</v>
      </c>
      <c r="J9" s="16" t="s">
        <v>32</v>
      </c>
      <c r="K9" s="16" t="s">
        <v>35</v>
      </c>
      <c r="L9" s="16" t="s">
        <v>32</v>
      </c>
      <c r="M9" s="16" t="s">
        <v>35</v>
      </c>
      <c r="N9" s="16" t="s">
        <v>35</v>
      </c>
      <c r="O9" s="16" t="s">
        <v>32</v>
      </c>
      <c r="P9" s="16" t="s">
        <v>35</v>
      </c>
      <c r="Q9" s="16" t="s">
        <v>32</v>
      </c>
      <c r="R9" s="16" t="s">
        <v>32</v>
      </c>
      <c r="S9" s="16" t="s">
        <v>32</v>
      </c>
      <c r="T9" s="16" t="s">
        <v>32</v>
      </c>
      <c r="U9" s="16" t="s">
        <v>32</v>
      </c>
      <c r="V9" s="16" t="s">
        <v>32</v>
      </c>
      <c r="W9" s="16" t="s">
        <v>35</v>
      </c>
      <c r="X9">
        <f t="shared" si="0"/>
        <v>8</v>
      </c>
      <c r="Y9">
        <f t="shared" si="1"/>
        <v>5</v>
      </c>
      <c r="Z9" s="6">
        <v>3.2</v>
      </c>
      <c r="AA9" s="27">
        <f>10*(COUNTIF(Tabla1[[#This Row],[1.1]:[2.6]],"1 P")+0.5*COUNTIF(Tabla1[[#This Row],[1.1]:[2.6]],"0.5 "))/(COUNTIF(Tabla1[[#This Row],[1.1]:[2.6]],"1 P")+COUNTIF(Tabla1[[#This Row],[1.1]:[2.6]],"0 F")+COUNTIF(Tabla1[[#This Row],[1.1]:[2.6]],"0.5 P"))</f>
        <v>3.1578947368421053</v>
      </c>
      <c r="AB9"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3.5294117647058822</v>
      </c>
      <c r="AC9" s="6" t="s">
        <v>10</v>
      </c>
      <c r="AD9" s="6" t="str">
        <f>IF(X9&gt;2,"No válido",IF(Y9&lt;3,"AA","A"))</f>
        <v>No válido</v>
      </c>
      <c r="AE9" s="6" t="str">
        <f>IF(X9&gt;3,"No válido",IF(Y9&lt;4,"AA","A"))</f>
        <v>No válido</v>
      </c>
    </row>
    <row r="10" spans="1:31" x14ac:dyDescent="0.25">
      <c r="A10" t="s">
        <v>160</v>
      </c>
      <c r="B10" s="6" t="s">
        <v>57</v>
      </c>
      <c r="C10" t="s">
        <v>93</v>
      </c>
      <c r="D10" s="16" t="s">
        <v>35</v>
      </c>
      <c r="E10" s="16" t="s">
        <v>35</v>
      </c>
      <c r="F10" s="16" t="s">
        <v>35</v>
      </c>
      <c r="G10" s="16" t="s">
        <v>34</v>
      </c>
      <c r="H10" s="16" t="s">
        <v>32</v>
      </c>
      <c r="I10" s="16" t="s">
        <v>35</v>
      </c>
      <c r="J10" s="16" t="s">
        <v>32</v>
      </c>
      <c r="K10" s="16" t="s">
        <v>35</v>
      </c>
      <c r="L10" s="16" t="s">
        <v>35</v>
      </c>
      <c r="M10" s="16" t="s">
        <v>34</v>
      </c>
      <c r="N10" s="16" t="s">
        <v>35</v>
      </c>
      <c r="O10" s="16" t="s">
        <v>35</v>
      </c>
      <c r="P10" s="16" t="s">
        <v>35</v>
      </c>
      <c r="Q10" s="16" t="s">
        <v>35</v>
      </c>
      <c r="R10" s="16" t="s">
        <v>32</v>
      </c>
      <c r="S10" s="16" t="s">
        <v>35</v>
      </c>
      <c r="T10" s="16" t="s">
        <v>35</v>
      </c>
      <c r="U10" s="16" t="s">
        <v>32</v>
      </c>
      <c r="V10" s="16" t="s">
        <v>35</v>
      </c>
      <c r="W10" s="16" t="s">
        <v>35</v>
      </c>
      <c r="X10">
        <f t="shared" si="0"/>
        <v>2</v>
      </c>
      <c r="Y10">
        <f t="shared" si="1"/>
        <v>2</v>
      </c>
      <c r="Z10" s="6">
        <v>7.8</v>
      </c>
      <c r="AA10" s="27">
        <f>10*(COUNTIF(Tabla1[[#This Row],[1.1]:[2.6]],"1 P")+0.5*COUNTIF(Tabla1[[#This Row],[1.1]:[2.6]],"0.5 "))/(COUNTIF(Tabla1[[#This Row],[1.1]:[2.6]],"1 P")+COUNTIF(Tabla1[[#This Row],[1.1]:[2.6]],"0 F")+COUNTIF(Tabla1[[#This Row],[1.1]:[2.6]],"0.5 P"))</f>
        <v>7.7777777777777777</v>
      </c>
      <c r="AB10"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8.75</v>
      </c>
      <c r="AC10" s="6" t="s">
        <v>9</v>
      </c>
      <c r="AD10" s="6" t="str">
        <f>IF(X10&gt;2,"No válido",IF(Y10&lt;3,"AA","A"))</f>
        <v>AA</v>
      </c>
      <c r="AE10" s="6" t="str">
        <f>IF(X10&gt;3,"No válido",IF(Y10&lt;4,"AA","A"))</f>
        <v>AA</v>
      </c>
    </row>
    <row r="11" spans="1:31" x14ac:dyDescent="0.25">
      <c r="A11" t="s">
        <v>160</v>
      </c>
      <c r="B11" s="6" t="s">
        <v>58</v>
      </c>
      <c r="C11" t="s">
        <v>94</v>
      </c>
      <c r="D11" s="16" t="s">
        <v>35</v>
      </c>
      <c r="E11" s="16" t="s">
        <v>32</v>
      </c>
      <c r="F11" s="16" t="s">
        <v>32</v>
      </c>
      <c r="G11" s="16" t="s">
        <v>34</v>
      </c>
      <c r="H11" s="16" t="s">
        <v>32</v>
      </c>
      <c r="I11" s="16" t="s">
        <v>32</v>
      </c>
      <c r="J11" s="16" t="s">
        <v>32</v>
      </c>
      <c r="K11" s="16" t="s">
        <v>32</v>
      </c>
      <c r="L11" s="16" t="s">
        <v>35</v>
      </c>
      <c r="M11" s="16" t="s">
        <v>35</v>
      </c>
      <c r="N11" s="16" t="s">
        <v>35</v>
      </c>
      <c r="O11" s="16" t="s">
        <v>32</v>
      </c>
      <c r="P11" s="16" t="s">
        <v>35</v>
      </c>
      <c r="Q11" s="16" t="s">
        <v>32</v>
      </c>
      <c r="R11" s="16" t="s">
        <v>32</v>
      </c>
      <c r="S11" s="16" t="s">
        <v>32</v>
      </c>
      <c r="T11" s="16" t="s">
        <v>35</v>
      </c>
      <c r="U11" s="16" t="s">
        <v>35</v>
      </c>
      <c r="V11" s="16" t="s">
        <v>32</v>
      </c>
      <c r="W11" s="16" t="s">
        <v>35</v>
      </c>
      <c r="X11">
        <f t="shared" si="0"/>
        <v>8</v>
      </c>
      <c r="Y11">
        <f t="shared" si="1"/>
        <v>3</v>
      </c>
      <c r="Z11" s="6">
        <v>4.2</v>
      </c>
      <c r="AA11" s="27">
        <f>10*(COUNTIF(Tabla1[[#This Row],[1.1]:[2.6]],"1 P")+0.5*COUNTIF(Tabla1[[#This Row],[1.1]:[2.6]],"0.5 "))/(COUNTIF(Tabla1[[#This Row],[1.1]:[2.6]],"1 P")+COUNTIF(Tabla1[[#This Row],[1.1]:[2.6]],"0 F")+COUNTIF(Tabla1[[#This Row],[1.1]:[2.6]],"0.5 P"))</f>
        <v>4.2105263157894735</v>
      </c>
      <c r="AB11"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4.7058823529411766</v>
      </c>
      <c r="AC11" s="6" t="s">
        <v>10</v>
      </c>
      <c r="AD11" s="6" t="str">
        <f>IF(X11&gt;2,"No válido",IF(Y11&lt;3,"AA","A"))</f>
        <v>No válido</v>
      </c>
      <c r="AE11" s="6" t="str">
        <f>IF(X11&gt;3,"No válido",IF(Y11&lt;4,"AA","A"))</f>
        <v>No válido</v>
      </c>
    </row>
    <row r="12" spans="1:31" x14ac:dyDescent="0.25">
      <c r="A12" t="s">
        <v>160</v>
      </c>
      <c r="B12" s="6" t="s">
        <v>59</v>
      </c>
      <c r="C12" t="s">
        <v>95</v>
      </c>
      <c r="D12" s="16" t="s">
        <v>35</v>
      </c>
      <c r="E12" s="16" t="s">
        <v>32</v>
      </c>
      <c r="F12" s="16" t="s">
        <v>35</v>
      </c>
      <c r="G12" s="16" t="s">
        <v>34</v>
      </c>
      <c r="H12" s="16" t="s">
        <v>32</v>
      </c>
      <c r="I12" s="16" t="s">
        <v>32</v>
      </c>
      <c r="J12" s="16" t="s">
        <v>32</v>
      </c>
      <c r="K12" s="16" t="s">
        <v>32</v>
      </c>
      <c r="L12" s="16" t="s">
        <v>35</v>
      </c>
      <c r="M12" s="16" t="s">
        <v>34</v>
      </c>
      <c r="N12" s="16" t="s">
        <v>32</v>
      </c>
      <c r="O12" s="16" t="s">
        <v>32</v>
      </c>
      <c r="P12" s="16" t="s">
        <v>35</v>
      </c>
      <c r="Q12" s="16" t="s">
        <v>32</v>
      </c>
      <c r="R12" s="16" t="s">
        <v>32</v>
      </c>
      <c r="S12" s="16" t="s">
        <v>35</v>
      </c>
      <c r="T12" s="16" t="s">
        <v>35</v>
      </c>
      <c r="U12" s="16" t="s">
        <v>32</v>
      </c>
      <c r="V12" s="16" t="s">
        <v>35</v>
      </c>
      <c r="W12" s="16" t="s">
        <v>35</v>
      </c>
      <c r="X12">
        <f t="shared" si="0"/>
        <v>8</v>
      </c>
      <c r="Y12">
        <f t="shared" si="1"/>
        <v>2</v>
      </c>
      <c r="Z12" s="6">
        <v>4.4000000000000004</v>
      </c>
      <c r="AA12" s="27">
        <f>10*(COUNTIF(Tabla1[[#This Row],[1.1]:[2.6]],"1 P")+0.5*COUNTIF(Tabla1[[#This Row],[1.1]:[2.6]],"0.5 "))/(COUNTIF(Tabla1[[#This Row],[1.1]:[2.6]],"1 P")+COUNTIF(Tabla1[[#This Row],[1.1]:[2.6]],"0 F")+COUNTIF(Tabla1[[#This Row],[1.1]:[2.6]],"0.5 P"))</f>
        <v>4.4444444444444446</v>
      </c>
      <c r="AB12"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v>
      </c>
      <c r="AC12" s="6" t="s">
        <v>10</v>
      </c>
      <c r="AD12" s="6" t="str">
        <f>IF(X12&gt;2,"No válido",IF(Y12&lt;3,"AA","A"))</f>
        <v>No válido</v>
      </c>
      <c r="AE12" s="6" t="str">
        <f>IF(X12&gt;3,"No válido",IF(Y12&lt;4,"AA","A"))</f>
        <v>No válido</v>
      </c>
    </row>
    <row r="13" spans="1:31" x14ac:dyDescent="0.25">
      <c r="A13" t="s">
        <v>160</v>
      </c>
      <c r="B13" s="6" t="s">
        <v>60</v>
      </c>
      <c r="C13" t="s">
        <v>96</v>
      </c>
      <c r="D13" s="16" t="s">
        <v>32</v>
      </c>
      <c r="E13" s="16" t="s">
        <v>32</v>
      </c>
      <c r="F13" s="16" t="s">
        <v>35</v>
      </c>
      <c r="G13" s="16" t="s">
        <v>34</v>
      </c>
      <c r="H13" s="16" t="s">
        <v>35</v>
      </c>
      <c r="I13" s="16" t="s">
        <v>32</v>
      </c>
      <c r="J13" s="16" t="s">
        <v>32</v>
      </c>
      <c r="K13" s="16" t="s">
        <v>35</v>
      </c>
      <c r="L13" s="16" t="s">
        <v>35</v>
      </c>
      <c r="M13" s="16" t="s">
        <v>34</v>
      </c>
      <c r="N13" s="16" t="s">
        <v>35</v>
      </c>
      <c r="O13" s="16" t="s">
        <v>32</v>
      </c>
      <c r="P13" s="16" t="s">
        <v>35</v>
      </c>
      <c r="Q13" s="16" t="s">
        <v>35</v>
      </c>
      <c r="R13" s="16" t="s">
        <v>32</v>
      </c>
      <c r="S13" s="16" t="s">
        <v>35</v>
      </c>
      <c r="T13" s="16" t="s">
        <v>32</v>
      </c>
      <c r="U13" s="16" t="s">
        <v>32</v>
      </c>
      <c r="V13" s="16" t="s">
        <v>32</v>
      </c>
      <c r="W13" s="16" t="s">
        <v>35</v>
      </c>
      <c r="X13">
        <f t="shared" si="0"/>
        <v>5</v>
      </c>
      <c r="Y13">
        <f t="shared" si="1"/>
        <v>4</v>
      </c>
      <c r="Z13" s="6">
        <v>5</v>
      </c>
      <c r="AA13" s="27">
        <f>10*(COUNTIF(Tabla1[[#This Row],[1.1]:[2.6]],"1 P")+0.5*COUNTIF(Tabla1[[#This Row],[1.1]:[2.6]],"0.5 "))/(COUNTIF(Tabla1[[#This Row],[1.1]:[2.6]],"1 P")+COUNTIF(Tabla1[[#This Row],[1.1]:[2.6]],"0 F")+COUNTIF(Tabla1[[#This Row],[1.1]:[2.6]],"0.5 P"))</f>
        <v>5</v>
      </c>
      <c r="AB13"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5.625</v>
      </c>
      <c r="AC13" s="6" t="s">
        <v>10</v>
      </c>
      <c r="AD13" s="6" t="str">
        <f>IF(X13&gt;2,"No válido",IF(Y13&lt;3,"AA","A"))</f>
        <v>No válido</v>
      </c>
      <c r="AE13" s="6" t="str">
        <f>IF(X13&gt;3,"No válido",IF(Y13&lt;4,"AA","A"))</f>
        <v>No válido</v>
      </c>
    </row>
    <row r="14" spans="1:31" x14ac:dyDescent="0.25">
      <c r="A14" t="s">
        <v>160</v>
      </c>
      <c r="B14" s="6" t="s">
        <v>61</v>
      </c>
      <c r="C14" t="s">
        <v>97</v>
      </c>
      <c r="D14" s="16" t="s">
        <v>32</v>
      </c>
      <c r="E14" s="16" t="s">
        <v>32</v>
      </c>
      <c r="F14" s="16" t="s">
        <v>32</v>
      </c>
      <c r="G14" s="16" t="s">
        <v>34</v>
      </c>
      <c r="H14" s="16" t="s">
        <v>32</v>
      </c>
      <c r="I14" s="16" t="s">
        <v>32</v>
      </c>
      <c r="J14" s="16" t="s">
        <v>32</v>
      </c>
      <c r="K14" s="16" t="s">
        <v>35</v>
      </c>
      <c r="L14" s="16" t="s">
        <v>35</v>
      </c>
      <c r="M14" s="16" t="s">
        <v>35</v>
      </c>
      <c r="N14" s="16" t="s">
        <v>35</v>
      </c>
      <c r="O14" s="16" t="s">
        <v>35</v>
      </c>
      <c r="P14" s="16" t="s">
        <v>35</v>
      </c>
      <c r="Q14" s="16" t="s">
        <v>32</v>
      </c>
      <c r="R14" s="16" t="s">
        <v>32</v>
      </c>
      <c r="S14" s="16" t="s">
        <v>35</v>
      </c>
      <c r="T14" s="16" t="s">
        <v>32</v>
      </c>
      <c r="U14" s="16" t="s">
        <v>32</v>
      </c>
      <c r="V14" s="16" t="s">
        <v>32</v>
      </c>
      <c r="W14" s="16" t="s">
        <v>35</v>
      </c>
      <c r="X14">
        <f t="shared" si="0"/>
        <v>7</v>
      </c>
      <c r="Y14">
        <f t="shared" si="1"/>
        <v>4</v>
      </c>
      <c r="Z14" s="6">
        <v>4.2</v>
      </c>
      <c r="AA14" s="27">
        <f>10*(COUNTIF(Tabla1[[#This Row],[1.1]:[2.6]],"1 P")+0.5*COUNTIF(Tabla1[[#This Row],[1.1]:[2.6]],"0.5 "))/(COUNTIF(Tabla1[[#This Row],[1.1]:[2.6]],"1 P")+COUNTIF(Tabla1[[#This Row],[1.1]:[2.6]],"0 F")+COUNTIF(Tabla1[[#This Row],[1.1]:[2.6]],"0.5 P"))</f>
        <v>4.2105263157894735</v>
      </c>
      <c r="AB14"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4.7058823529411766</v>
      </c>
      <c r="AC14" s="6" t="s">
        <v>10</v>
      </c>
      <c r="AD14" s="6" t="str">
        <f>IF(X14&gt;2,"No válido",IF(Y14&lt;3,"AA","A"))</f>
        <v>No válido</v>
      </c>
      <c r="AE14" s="6" t="str">
        <f>IF(X14&gt;3,"No válido",IF(Y14&lt;4,"AA","A"))</f>
        <v>No válido</v>
      </c>
    </row>
    <row r="15" spans="1:31" x14ac:dyDescent="0.25">
      <c r="A15" t="s">
        <v>160</v>
      </c>
      <c r="B15" s="6" t="s">
        <v>62</v>
      </c>
      <c r="C15" t="s">
        <v>99</v>
      </c>
      <c r="D15" s="16" t="s">
        <v>35</v>
      </c>
      <c r="E15" s="16" t="s">
        <v>32</v>
      </c>
      <c r="F15" s="16" t="s">
        <v>35</v>
      </c>
      <c r="G15" s="16" t="s">
        <v>34</v>
      </c>
      <c r="H15" s="16" t="s">
        <v>32</v>
      </c>
      <c r="I15" s="16" t="s">
        <v>35</v>
      </c>
      <c r="J15" s="16" t="s">
        <v>32</v>
      </c>
      <c r="K15" s="16" t="s">
        <v>35</v>
      </c>
      <c r="L15" s="16" t="s">
        <v>35</v>
      </c>
      <c r="M15" s="16" t="s">
        <v>34</v>
      </c>
      <c r="N15" s="16" t="s">
        <v>35</v>
      </c>
      <c r="O15" s="16" t="s">
        <v>32</v>
      </c>
      <c r="P15" s="16" t="s">
        <v>35</v>
      </c>
      <c r="Q15" s="16" t="s">
        <v>32</v>
      </c>
      <c r="R15" s="16" t="s">
        <v>32</v>
      </c>
      <c r="S15" s="16" t="s">
        <v>35</v>
      </c>
      <c r="T15" s="16" t="s">
        <v>35</v>
      </c>
      <c r="U15" s="16" t="s">
        <v>32</v>
      </c>
      <c r="V15" s="16" t="s">
        <v>35</v>
      </c>
      <c r="W15" s="16" t="s">
        <v>35</v>
      </c>
      <c r="X15">
        <f t="shared" si="0"/>
        <v>5</v>
      </c>
      <c r="Y15">
        <f t="shared" si="1"/>
        <v>2</v>
      </c>
      <c r="Z15" s="6">
        <v>6.1</v>
      </c>
      <c r="AA15" s="27">
        <f>10*(COUNTIF(Tabla1[[#This Row],[1.1]:[2.6]],"1 P")+0.5*COUNTIF(Tabla1[[#This Row],[1.1]:[2.6]],"0.5 "))/(COUNTIF(Tabla1[[#This Row],[1.1]:[2.6]],"1 P")+COUNTIF(Tabla1[[#This Row],[1.1]:[2.6]],"0 F")+COUNTIF(Tabla1[[#This Row],[1.1]:[2.6]],"0.5 P"))</f>
        <v>6.1111111111111107</v>
      </c>
      <c r="AB15"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6.875</v>
      </c>
      <c r="AC15" s="6" t="s">
        <v>10</v>
      </c>
      <c r="AD15" s="6" t="str">
        <f>IF(X15&gt;2,"No válido",IF(Y15&lt;3,"AA","A"))</f>
        <v>No válido</v>
      </c>
      <c r="AE15" s="6" t="str">
        <f>IF(X15&gt;3,"No válido",IF(Y15&lt;4,"AA","A"))</f>
        <v>No válido</v>
      </c>
    </row>
    <row r="16" spans="1:31" x14ac:dyDescent="0.25">
      <c r="A16" t="s">
        <v>160</v>
      </c>
      <c r="B16" s="6" t="s">
        <v>63</v>
      </c>
      <c r="C16" t="s">
        <v>100</v>
      </c>
      <c r="D16" s="16" t="s">
        <v>35</v>
      </c>
      <c r="E16" s="16" t="s">
        <v>35</v>
      </c>
      <c r="F16" s="16" t="s">
        <v>35</v>
      </c>
      <c r="G16" s="16" t="s">
        <v>34</v>
      </c>
      <c r="H16" s="16" t="s">
        <v>32</v>
      </c>
      <c r="I16" s="16" t="s">
        <v>35</v>
      </c>
      <c r="J16" s="16" t="s">
        <v>32</v>
      </c>
      <c r="K16" s="16" t="s">
        <v>35</v>
      </c>
      <c r="L16" s="16" t="s">
        <v>35</v>
      </c>
      <c r="M16" s="16" t="s">
        <v>34</v>
      </c>
      <c r="N16" s="16" t="s">
        <v>35</v>
      </c>
      <c r="O16" s="16" t="s">
        <v>35</v>
      </c>
      <c r="P16" s="16" t="s">
        <v>35</v>
      </c>
      <c r="Q16" s="16" t="s">
        <v>35</v>
      </c>
      <c r="R16" s="16" t="s">
        <v>32</v>
      </c>
      <c r="S16" s="16" t="s">
        <v>35</v>
      </c>
      <c r="T16" s="16" t="s">
        <v>35</v>
      </c>
      <c r="U16" s="16" t="s">
        <v>32</v>
      </c>
      <c r="V16" s="16" t="s">
        <v>32</v>
      </c>
      <c r="W16" s="16" t="s">
        <v>35</v>
      </c>
      <c r="X16">
        <f t="shared" si="0"/>
        <v>2</v>
      </c>
      <c r="Y16">
        <f t="shared" si="1"/>
        <v>3</v>
      </c>
      <c r="Z16" s="6">
        <v>7.2</v>
      </c>
      <c r="AA16" s="27">
        <f>10*(COUNTIF(Tabla1[[#This Row],[1.1]:[2.6]],"1 P")+0.5*COUNTIF(Tabla1[[#This Row],[1.1]:[2.6]],"0.5 "))/(COUNTIF(Tabla1[[#This Row],[1.1]:[2.6]],"1 P")+COUNTIF(Tabla1[[#This Row],[1.1]:[2.6]],"0 F")+COUNTIF(Tabla1[[#This Row],[1.1]:[2.6]],"0.5 P"))</f>
        <v>7.2222222222222223</v>
      </c>
      <c r="AB16"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8.125</v>
      </c>
      <c r="AC16" s="6" t="s">
        <v>11</v>
      </c>
      <c r="AD16" s="6" t="str">
        <f>IF(X16&gt;2,"No válido",IF(Y16&lt;3,"AA","A"))</f>
        <v>A</v>
      </c>
      <c r="AE16" s="6" t="str">
        <f>IF(X16&gt;3,"No válido",IF(Y16&lt;4,"AA","A"))</f>
        <v>AA</v>
      </c>
    </row>
    <row r="17" spans="1:31" x14ac:dyDescent="0.25">
      <c r="A17" t="s">
        <v>160</v>
      </c>
      <c r="B17" s="6" t="s">
        <v>64</v>
      </c>
      <c r="C17" t="s">
        <v>101</v>
      </c>
      <c r="D17" s="16" t="s">
        <v>32</v>
      </c>
      <c r="E17" s="16" t="s">
        <v>32</v>
      </c>
      <c r="F17" s="16" t="s">
        <v>35</v>
      </c>
      <c r="G17" s="16" t="s">
        <v>34</v>
      </c>
      <c r="H17" s="16" t="s">
        <v>32</v>
      </c>
      <c r="I17" s="16" t="s">
        <v>32</v>
      </c>
      <c r="J17" s="16" t="s">
        <v>32</v>
      </c>
      <c r="K17" s="16" t="s">
        <v>35</v>
      </c>
      <c r="L17" s="16" t="s">
        <v>32</v>
      </c>
      <c r="M17" s="16" t="s">
        <v>35</v>
      </c>
      <c r="N17" s="16" t="s">
        <v>35</v>
      </c>
      <c r="O17" s="16" t="s">
        <v>32</v>
      </c>
      <c r="P17" s="16" t="s">
        <v>35</v>
      </c>
      <c r="Q17" s="16" t="s">
        <v>32</v>
      </c>
      <c r="R17" s="16" t="s">
        <v>32</v>
      </c>
      <c r="S17" s="16" t="s">
        <v>32</v>
      </c>
      <c r="T17" s="16" t="s">
        <v>35</v>
      </c>
      <c r="U17" s="16" t="s">
        <v>32</v>
      </c>
      <c r="V17" s="16" t="s">
        <v>32</v>
      </c>
      <c r="W17" s="16" t="s">
        <v>32</v>
      </c>
      <c r="X17">
        <f t="shared" si="0"/>
        <v>8</v>
      </c>
      <c r="Y17">
        <f t="shared" si="1"/>
        <v>5</v>
      </c>
      <c r="Z17" s="6">
        <v>3.2</v>
      </c>
      <c r="AA17" s="27">
        <f>10*(COUNTIF(Tabla1[[#This Row],[1.1]:[2.6]],"1 P")+0.5*COUNTIF(Tabla1[[#This Row],[1.1]:[2.6]],"0.5 "))/(COUNTIF(Tabla1[[#This Row],[1.1]:[2.6]],"1 P")+COUNTIF(Tabla1[[#This Row],[1.1]:[2.6]],"0 F")+COUNTIF(Tabla1[[#This Row],[1.1]:[2.6]],"0.5 P"))</f>
        <v>3.1578947368421053</v>
      </c>
      <c r="AB17"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3.5294117647058822</v>
      </c>
      <c r="AC17" s="6" t="s">
        <v>10</v>
      </c>
      <c r="AD17" s="6" t="str">
        <f>IF(X17&gt;2,"No válido",IF(Y17&lt;3,"AA","A"))</f>
        <v>No válido</v>
      </c>
      <c r="AE17" s="6" t="str">
        <f>IF(X17&gt;3,"No válido",IF(Y17&lt;4,"AA","A"))</f>
        <v>No válido</v>
      </c>
    </row>
    <row r="18" spans="1:31" x14ac:dyDescent="0.25">
      <c r="A18" t="s">
        <v>160</v>
      </c>
      <c r="B18" s="6" t="s">
        <v>65</v>
      </c>
      <c r="C18" t="s">
        <v>102</v>
      </c>
      <c r="D18" s="16" t="s">
        <v>35</v>
      </c>
      <c r="E18" s="16" t="s">
        <v>32</v>
      </c>
      <c r="F18" s="16" t="s">
        <v>32</v>
      </c>
      <c r="G18" s="16" t="s">
        <v>34</v>
      </c>
      <c r="H18" s="16" t="s">
        <v>35</v>
      </c>
      <c r="I18" s="16" t="s">
        <v>35</v>
      </c>
      <c r="J18" s="16" t="s">
        <v>32</v>
      </c>
      <c r="K18" s="16" t="s">
        <v>35</v>
      </c>
      <c r="L18" s="16" t="s">
        <v>32</v>
      </c>
      <c r="M18" s="16" t="s">
        <v>32</v>
      </c>
      <c r="N18" s="16" t="s">
        <v>35</v>
      </c>
      <c r="O18" s="16" t="s">
        <v>32</v>
      </c>
      <c r="P18" s="16" t="s">
        <v>35</v>
      </c>
      <c r="Q18" s="16" t="s">
        <v>32</v>
      </c>
      <c r="R18" s="16" t="s">
        <v>32</v>
      </c>
      <c r="S18" s="16" t="s">
        <v>32</v>
      </c>
      <c r="T18" s="16" t="s">
        <v>35</v>
      </c>
      <c r="U18" s="16" t="s">
        <v>35</v>
      </c>
      <c r="V18" s="16" t="s">
        <v>32</v>
      </c>
      <c r="W18" s="16" t="s">
        <v>35</v>
      </c>
      <c r="X18">
        <f t="shared" si="0"/>
        <v>7</v>
      </c>
      <c r="Y18">
        <f t="shared" si="1"/>
        <v>3</v>
      </c>
      <c r="Z18" s="6">
        <v>4.7</v>
      </c>
      <c r="AA18" s="27">
        <f>10*(COUNTIF(Tabla1[[#This Row],[1.1]:[2.6]],"1 P")+0.5*COUNTIF(Tabla1[[#This Row],[1.1]:[2.6]],"0.5 "))/(COUNTIF(Tabla1[[#This Row],[1.1]:[2.6]],"1 P")+COUNTIF(Tabla1[[#This Row],[1.1]:[2.6]],"0 F")+COUNTIF(Tabla1[[#This Row],[1.1]:[2.6]],"0.5 P"))</f>
        <v>4.7368421052631575</v>
      </c>
      <c r="AB18"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5.2941176470588234</v>
      </c>
      <c r="AC18" s="6" t="s">
        <v>10</v>
      </c>
      <c r="AD18" s="6" t="str">
        <f>IF(X18&gt;2,"No válido",IF(Y18&lt;3,"AA","A"))</f>
        <v>No válido</v>
      </c>
      <c r="AE18" s="6" t="str">
        <f>IF(X18&gt;3,"No válido",IF(Y18&lt;4,"AA","A"))</f>
        <v>No válido</v>
      </c>
    </row>
    <row r="19" spans="1:31" x14ac:dyDescent="0.25">
      <c r="A19" t="s">
        <v>160</v>
      </c>
      <c r="B19" s="6" t="s">
        <v>66</v>
      </c>
      <c r="C19" t="s">
        <v>103</v>
      </c>
      <c r="D19" s="16" t="s">
        <v>35</v>
      </c>
      <c r="E19" s="16" t="s">
        <v>32</v>
      </c>
      <c r="F19" s="16" t="s">
        <v>35</v>
      </c>
      <c r="G19" s="16" t="s">
        <v>34</v>
      </c>
      <c r="H19" s="16" t="s">
        <v>32</v>
      </c>
      <c r="I19" s="16" t="s">
        <v>32</v>
      </c>
      <c r="J19" s="16" t="s">
        <v>32</v>
      </c>
      <c r="K19" s="16" t="s">
        <v>35</v>
      </c>
      <c r="L19" s="16" t="s">
        <v>35</v>
      </c>
      <c r="M19" s="16" t="s">
        <v>34</v>
      </c>
      <c r="N19" s="16" t="s">
        <v>35</v>
      </c>
      <c r="O19" s="16" t="s">
        <v>32</v>
      </c>
      <c r="P19" s="16" t="s">
        <v>35</v>
      </c>
      <c r="Q19" s="16" t="s">
        <v>32</v>
      </c>
      <c r="R19" s="16" t="s">
        <v>32</v>
      </c>
      <c r="S19" s="16" t="s">
        <v>32</v>
      </c>
      <c r="T19" s="16" t="s">
        <v>35</v>
      </c>
      <c r="U19" s="16" t="s">
        <v>32</v>
      </c>
      <c r="V19" s="16" t="s">
        <v>32</v>
      </c>
      <c r="W19" s="16" t="s">
        <v>35</v>
      </c>
      <c r="X19">
        <f t="shared" si="0"/>
        <v>6</v>
      </c>
      <c r="Y19">
        <f t="shared" si="1"/>
        <v>4</v>
      </c>
      <c r="Z19" s="6">
        <v>4.4000000000000004</v>
      </c>
      <c r="AA19" s="27">
        <f>10*(COUNTIF(Tabla1[[#This Row],[1.1]:[2.6]],"1 P")+0.5*COUNTIF(Tabla1[[#This Row],[1.1]:[2.6]],"0.5 "))/(COUNTIF(Tabla1[[#This Row],[1.1]:[2.6]],"1 P")+COUNTIF(Tabla1[[#This Row],[1.1]:[2.6]],"0 F")+COUNTIF(Tabla1[[#This Row],[1.1]:[2.6]],"0.5 P"))</f>
        <v>4.4444444444444446</v>
      </c>
      <c r="AB19"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v>
      </c>
      <c r="AC19" s="6" t="s">
        <v>10</v>
      </c>
      <c r="AD19" s="6" t="str">
        <f>IF(X19&gt;2,"No válido",IF(Y19&lt;3,"AA","A"))</f>
        <v>No válido</v>
      </c>
      <c r="AE19" s="6" t="str">
        <f>IF(X19&gt;3,"No válido",IF(Y19&lt;4,"AA","A"))</f>
        <v>No válido</v>
      </c>
    </row>
    <row r="20" spans="1:31" x14ac:dyDescent="0.25">
      <c r="A20" t="s">
        <v>160</v>
      </c>
      <c r="B20" s="6" t="s">
        <v>67</v>
      </c>
      <c r="C20" t="s">
        <v>104</v>
      </c>
      <c r="D20" s="16" t="s">
        <v>32</v>
      </c>
      <c r="E20" s="16" t="s">
        <v>32</v>
      </c>
      <c r="F20" s="16" t="s">
        <v>35</v>
      </c>
      <c r="G20" s="16" t="s">
        <v>34</v>
      </c>
      <c r="H20" s="16" t="s">
        <v>35</v>
      </c>
      <c r="I20" s="16" t="s">
        <v>32</v>
      </c>
      <c r="J20" s="16" t="s">
        <v>32</v>
      </c>
      <c r="K20" s="16" t="s">
        <v>35</v>
      </c>
      <c r="L20" s="16" t="s">
        <v>34</v>
      </c>
      <c r="M20" s="16" t="s">
        <v>34</v>
      </c>
      <c r="N20" s="16" t="s">
        <v>35</v>
      </c>
      <c r="O20" s="16" t="s">
        <v>32</v>
      </c>
      <c r="P20" s="16" t="s">
        <v>35</v>
      </c>
      <c r="Q20" s="16" t="s">
        <v>32</v>
      </c>
      <c r="R20" s="16" t="s">
        <v>32</v>
      </c>
      <c r="S20" s="16" t="s">
        <v>32</v>
      </c>
      <c r="T20" s="16" t="s">
        <v>32</v>
      </c>
      <c r="U20" s="16" t="s">
        <v>32</v>
      </c>
      <c r="V20" s="16" t="s">
        <v>32</v>
      </c>
      <c r="W20" s="16" t="s">
        <v>32</v>
      </c>
      <c r="X20">
        <f t="shared" si="0"/>
        <v>6</v>
      </c>
      <c r="Y20">
        <f t="shared" si="1"/>
        <v>6</v>
      </c>
      <c r="Z20" s="6">
        <v>2.9</v>
      </c>
      <c r="AA20" s="27">
        <f>10*(COUNTIF(Tabla1[[#This Row],[1.1]:[2.6]],"1 P")+0.5*COUNTIF(Tabla1[[#This Row],[1.1]:[2.6]],"0.5 "))/(COUNTIF(Tabla1[[#This Row],[1.1]:[2.6]],"1 P")+COUNTIF(Tabla1[[#This Row],[1.1]:[2.6]],"0 F")+COUNTIF(Tabla1[[#This Row],[1.1]:[2.6]],"0.5 P"))</f>
        <v>2.9411764705882355</v>
      </c>
      <c r="AB20"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3.3333333333333335</v>
      </c>
      <c r="AC20" s="6" t="s">
        <v>10</v>
      </c>
      <c r="AD20" s="6" t="str">
        <f>IF(X20&gt;2,"No válido",IF(Y20&lt;3,"AA","A"))</f>
        <v>No válido</v>
      </c>
      <c r="AE20" s="6" t="str">
        <f>IF(X20&gt;3,"No válido",IF(Y20&lt;4,"AA","A"))</f>
        <v>No válido</v>
      </c>
    </row>
    <row r="21" spans="1:31" x14ac:dyDescent="0.25">
      <c r="A21" t="s">
        <v>160</v>
      </c>
      <c r="B21" s="6" t="s">
        <v>68</v>
      </c>
      <c r="C21" t="s">
        <v>159</v>
      </c>
      <c r="D21" s="16" t="s">
        <v>32</v>
      </c>
      <c r="E21" s="16" t="s">
        <v>32</v>
      </c>
      <c r="F21" s="16" t="s">
        <v>32</v>
      </c>
      <c r="G21" s="16" t="s">
        <v>34</v>
      </c>
      <c r="H21" s="16" t="s">
        <v>32</v>
      </c>
      <c r="I21" s="16" t="s">
        <v>35</v>
      </c>
      <c r="J21" s="16" t="s">
        <v>32</v>
      </c>
      <c r="K21" s="16" t="s">
        <v>35</v>
      </c>
      <c r="L21" s="16" t="s">
        <v>34</v>
      </c>
      <c r="M21" s="16" t="s">
        <v>34</v>
      </c>
      <c r="N21" s="16" t="s">
        <v>35</v>
      </c>
      <c r="O21" s="16" t="s">
        <v>32</v>
      </c>
      <c r="P21" s="16" t="s">
        <v>35</v>
      </c>
      <c r="Q21" s="16" t="s">
        <v>32</v>
      </c>
      <c r="R21" s="16" t="s">
        <v>32</v>
      </c>
      <c r="S21" s="16" t="s">
        <v>35</v>
      </c>
      <c r="T21" s="16" t="s">
        <v>35</v>
      </c>
      <c r="U21" s="16" t="s">
        <v>35</v>
      </c>
      <c r="V21" s="16" t="s">
        <v>35</v>
      </c>
      <c r="W21" s="16" t="s">
        <v>35</v>
      </c>
      <c r="X21">
        <f t="shared" si="0"/>
        <v>7</v>
      </c>
      <c r="Y21">
        <f t="shared" si="1"/>
        <v>1</v>
      </c>
      <c r="Z21" s="6">
        <v>5.3</v>
      </c>
      <c r="AA21" s="27">
        <f>10*(COUNTIF(Tabla1[[#This Row],[1.1]:[2.6]],"1 P")+0.5*COUNTIF(Tabla1[[#This Row],[1.1]:[2.6]],"0.5 "))/(COUNTIF(Tabla1[[#This Row],[1.1]:[2.6]],"1 P")+COUNTIF(Tabla1[[#This Row],[1.1]:[2.6]],"0 F")+COUNTIF(Tabla1[[#This Row],[1.1]:[2.6]],"0.5 P"))</f>
        <v>5.2941176470588234</v>
      </c>
      <c r="AB21"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6</v>
      </c>
      <c r="AC21" s="6" t="s">
        <v>10</v>
      </c>
      <c r="AD21" s="6" t="str">
        <f>IF(X21&gt;2,"No válido",IF(Y21&lt;3,"AA","A"))</f>
        <v>No válido</v>
      </c>
      <c r="AE21" s="6" t="str">
        <f>IF(X21&gt;3,"No válido",IF(Y21&lt;4,"AA","A"))</f>
        <v>No válido</v>
      </c>
    </row>
    <row r="22" spans="1:31" x14ac:dyDescent="0.25">
      <c r="A22" t="s">
        <v>160</v>
      </c>
      <c r="B22" s="6" t="s">
        <v>69</v>
      </c>
      <c r="C22" t="s">
        <v>106</v>
      </c>
      <c r="D22" s="16" t="s">
        <v>32</v>
      </c>
      <c r="E22" s="16" t="s">
        <v>32</v>
      </c>
      <c r="F22" s="16" t="s">
        <v>35</v>
      </c>
      <c r="G22" s="16" t="s">
        <v>34</v>
      </c>
      <c r="H22" s="16" t="s">
        <v>35</v>
      </c>
      <c r="I22" s="16" t="s">
        <v>32</v>
      </c>
      <c r="J22" s="16" t="s">
        <v>32</v>
      </c>
      <c r="K22" s="16" t="s">
        <v>35</v>
      </c>
      <c r="L22" s="16" t="s">
        <v>35</v>
      </c>
      <c r="M22" s="16" t="s">
        <v>34</v>
      </c>
      <c r="N22" s="16" t="s">
        <v>35</v>
      </c>
      <c r="O22" s="16" t="s">
        <v>32</v>
      </c>
      <c r="P22" s="16" t="s">
        <v>35</v>
      </c>
      <c r="Q22" s="16" t="s">
        <v>35</v>
      </c>
      <c r="R22" s="16" t="s">
        <v>32</v>
      </c>
      <c r="S22" s="16" t="s">
        <v>35</v>
      </c>
      <c r="T22" s="16" t="s">
        <v>32</v>
      </c>
      <c r="U22" s="16" t="s">
        <v>32</v>
      </c>
      <c r="V22" s="16" t="s">
        <v>32</v>
      </c>
      <c r="W22" s="16" t="s">
        <v>35</v>
      </c>
      <c r="X22">
        <f t="shared" si="0"/>
        <v>5</v>
      </c>
      <c r="Y22">
        <f t="shared" si="1"/>
        <v>4</v>
      </c>
      <c r="Z22" s="6">
        <v>5</v>
      </c>
      <c r="AA22" s="27">
        <f>10*(COUNTIF(Tabla1[[#This Row],[1.1]:[2.6]],"1 P")+0.5*COUNTIF(Tabla1[[#This Row],[1.1]:[2.6]],"0.5 "))/(COUNTIF(Tabla1[[#This Row],[1.1]:[2.6]],"1 P")+COUNTIF(Tabla1[[#This Row],[1.1]:[2.6]],"0 F")+COUNTIF(Tabla1[[#This Row],[1.1]:[2.6]],"0.5 P"))</f>
        <v>5</v>
      </c>
      <c r="AB22"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5.625</v>
      </c>
      <c r="AC22" s="6" t="s">
        <v>10</v>
      </c>
      <c r="AD22" s="6" t="str">
        <f>IF(X22&gt;2,"No válido",IF(Y22&lt;3,"AA","A"))</f>
        <v>No válido</v>
      </c>
      <c r="AE22" s="6" t="str">
        <f>IF(X22&gt;3,"No válido",IF(Y22&lt;4,"AA","A"))</f>
        <v>No válido</v>
      </c>
    </row>
    <row r="23" spans="1:31" x14ac:dyDescent="0.25">
      <c r="A23" t="s">
        <v>160</v>
      </c>
      <c r="B23" s="6" t="s">
        <v>70</v>
      </c>
      <c r="C23" t="s">
        <v>107</v>
      </c>
      <c r="D23" s="16" t="s">
        <v>32</v>
      </c>
      <c r="E23" s="16" t="s">
        <v>32</v>
      </c>
      <c r="F23" s="16" t="s">
        <v>35</v>
      </c>
      <c r="G23" s="16" t="s">
        <v>34</v>
      </c>
      <c r="H23" s="16" t="s">
        <v>35</v>
      </c>
      <c r="I23" s="16" t="s">
        <v>35</v>
      </c>
      <c r="J23" s="16" t="s">
        <v>32</v>
      </c>
      <c r="K23" s="16" t="s">
        <v>32</v>
      </c>
      <c r="L23" s="16" t="s">
        <v>32</v>
      </c>
      <c r="M23" s="16" t="s">
        <v>35</v>
      </c>
      <c r="N23" s="16" t="s">
        <v>35</v>
      </c>
      <c r="O23" s="16" t="s">
        <v>32</v>
      </c>
      <c r="P23" s="16" t="s">
        <v>35</v>
      </c>
      <c r="Q23" s="16" t="s">
        <v>32</v>
      </c>
      <c r="R23" s="16" t="s">
        <v>32</v>
      </c>
      <c r="S23" s="16" t="s">
        <v>35</v>
      </c>
      <c r="T23" s="16" t="s">
        <v>32</v>
      </c>
      <c r="U23" s="16" t="s">
        <v>35</v>
      </c>
      <c r="V23" s="16" t="s">
        <v>35</v>
      </c>
      <c r="W23" s="16" t="s">
        <v>35</v>
      </c>
      <c r="X23">
        <f t="shared" si="0"/>
        <v>7</v>
      </c>
      <c r="Y23">
        <f t="shared" si="1"/>
        <v>2</v>
      </c>
      <c r="Z23" s="6">
        <v>5.3</v>
      </c>
      <c r="AA23" s="27">
        <f>10*(COUNTIF(Tabla1[[#This Row],[1.1]:[2.6]],"1 P")+0.5*COUNTIF(Tabla1[[#This Row],[1.1]:[2.6]],"0.5 "))/(COUNTIF(Tabla1[[#This Row],[1.1]:[2.6]],"1 P")+COUNTIF(Tabla1[[#This Row],[1.1]:[2.6]],"0 F")+COUNTIF(Tabla1[[#This Row],[1.1]:[2.6]],"0.5 P"))</f>
        <v>5.2631578947368425</v>
      </c>
      <c r="AB23"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5.882352941176471</v>
      </c>
      <c r="AC23" s="6" t="s">
        <v>10</v>
      </c>
      <c r="AD23" s="6" t="str">
        <f>IF(X23&gt;2,"No válido",IF(Y23&lt;3,"AA","A"))</f>
        <v>No válido</v>
      </c>
      <c r="AE23" s="6" t="str">
        <f>IF(X23&gt;3,"No válido",IF(Y23&lt;4,"AA","A"))</f>
        <v>No válido</v>
      </c>
    </row>
    <row r="24" spans="1:31" x14ac:dyDescent="0.25">
      <c r="A24" t="s">
        <v>160</v>
      </c>
      <c r="B24" s="6" t="s">
        <v>71</v>
      </c>
      <c r="C24" t="s">
        <v>108</v>
      </c>
      <c r="D24" s="16" t="s">
        <v>32</v>
      </c>
      <c r="E24" s="16" t="s">
        <v>32</v>
      </c>
      <c r="F24" s="16" t="s">
        <v>35</v>
      </c>
      <c r="G24" s="16" t="s">
        <v>34</v>
      </c>
      <c r="H24" s="16" t="s">
        <v>32</v>
      </c>
      <c r="I24" s="16" t="s">
        <v>32</v>
      </c>
      <c r="J24" s="16" t="s">
        <v>32</v>
      </c>
      <c r="K24" s="16" t="s">
        <v>32</v>
      </c>
      <c r="L24" s="16" t="s">
        <v>32</v>
      </c>
      <c r="M24" s="16" t="s">
        <v>35</v>
      </c>
      <c r="N24" s="16" t="s">
        <v>32</v>
      </c>
      <c r="O24" s="16" t="s">
        <v>35</v>
      </c>
      <c r="P24" s="16" t="s">
        <v>35</v>
      </c>
      <c r="Q24" s="16" t="s">
        <v>32</v>
      </c>
      <c r="R24" s="16" t="s">
        <v>32</v>
      </c>
      <c r="S24" s="16" t="s">
        <v>32</v>
      </c>
      <c r="T24" s="16" t="s">
        <v>32</v>
      </c>
      <c r="U24" s="16" t="s">
        <v>35</v>
      </c>
      <c r="V24" s="16" t="s">
        <v>32</v>
      </c>
      <c r="W24" s="16" t="s">
        <v>35</v>
      </c>
      <c r="X24">
        <f t="shared" si="0"/>
        <v>9</v>
      </c>
      <c r="Y24">
        <f t="shared" si="1"/>
        <v>4</v>
      </c>
      <c r="Z24" s="6">
        <v>3.2</v>
      </c>
      <c r="AA24" s="27">
        <f>10*(COUNTIF(Tabla1[[#This Row],[1.1]:[2.6]],"1 P")+0.5*COUNTIF(Tabla1[[#This Row],[1.1]:[2.6]],"0.5 "))/(COUNTIF(Tabla1[[#This Row],[1.1]:[2.6]],"1 P")+COUNTIF(Tabla1[[#This Row],[1.1]:[2.6]],"0 F")+COUNTIF(Tabla1[[#This Row],[1.1]:[2.6]],"0.5 P"))</f>
        <v>3.1578947368421053</v>
      </c>
      <c r="AB24"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3.5294117647058822</v>
      </c>
      <c r="AC24" s="6" t="s">
        <v>10</v>
      </c>
      <c r="AD24" s="6" t="str">
        <f>IF(X24&gt;2,"No válido",IF(Y24&lt;3,"AA","A"))</f>
        <v>No válido</v>
      </c>
      <c r="AE24" s="6" t="str">
        <f>IF(X24&gt;3,"No válido",IF(Y24&lt;4,"AA","A"))</f>
        <v>No válido</v>
      </c>
    </row>
    <row r="25" spans="1:31" x14ac:dyDescent="0.25">
      <c r="A25" t="s">
        <v>160</v>
      </c>
      <c r="B25" s="6" t="s">
        <v>72</v>
      </c>
      <c r="C25" t="s">
        <v>109</v>
      </c>
      <c r="D25" s="16" t="s">
        <v>32</v>
      </c>
      <c r="E25" s="16" t="s">
        <v>32</v>
      </c>
      <c r="F25" s="16" t="s">
        <v>35</v>
      </c>
      <c r="G25" s="16" t="s">
        <v>34</v>
      </c>
      <c r="H25" s="16" t="s">
        <v>32</v>
      </c>
      <c r="I25" s="16" t="s">
        <v>32</v>
      </c>
      <c r="J25" s="16" t="s">
        <v>32</v>
      </c>
      <c r="K25" s="16" t="s">
        <v>35</v>
      </c>
      <c r="L25" s="16" t="s">
        <v>32</v>
      </c>
      <c r="M25" s="16" t="s">
        <v>35</v>
      </c>
      <c r="N25" s="16" t="s">
        <v>35</v>
      </c>
      <c r="O25" s="16" t="s">
        <v>32</v>
      </c>
      <c r="P25" s="16" t="s">
        <v>35</v>
      </c>
      <c r="Q25" s="16" t="s">
        <v>32</v>
      </c>
      <c r="R25" s="16" t="s">
        <v>32</v>
      </c>
      <c r="S25" s="16" t="s">
        <v>32</v>
      </c>
      <c r="T25" s="16" t="s">
        <v>35</v>
      </c>
      <c r="U25" s="16" t="s">
        <v>35</v>
      </c>
      <c r="V25" s="16" t="s">
        <v>32</v>
      </c>
      <c r="W25" s="16" t="s">
        <v>35</v>
      </c>
      <c r="X25">
        <f t="shared" si="0"/>
        <v>8</v>
      </c>
      <c r="Y25">
        <f t="shared" si="1"/>
        <v>3</v>
      </c>
      <c r="Z25" s="6">
        <v>4.2</v>
      </c>
      <c r="AA25" s="27">
        <f>10*(COUNTIF(Tabla1[[#This Row],[1.1]:[2.6]],"1 P")+0.5*COUNTIF(Tabla1[[#This Row],[1.1]:[2.6]],"0.5 "))/(COUNTIF(Tabla1[[#This Row],[1.1]:[2.6]],"1 P")+COUNTIF(Tabla1[[#This Row],[1.1]:[2.6]],"0 F")+COUNTIF(Tabla1[[#This Row],[1.1]:[2.6]],"0.5 P"))</f>
        <v>4.2105263157894735</v>
      </c>
      <c r="AB25"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4.7058823529411766</v>
      </c>
      <c r="AC25" s="6" t="s">
        <v>10</v>
      </c>
      <c r="AD25" s="6" t="str">
        <f>IF(X25&gt;2,"No válido",IF(Y25&lt;3,"AA","A"))</f>
        <v>No válido</v>
      </c>
      <c r="AE25" s="6" t="str">
        <f>IF(X25&gt;3,"No válido",IF(Y25&lt;4,"AA","A"))</f>
        <v>No válido</v>
      </c>
    </row>
    <row r="26" spans="1:31" x14ac:dyDescent="0.25">
      <c r="A26" t="s">
        <v>160</v>
      </c>
      <c r="B26" s="6" t="s">
        <v>73</v>
      </c>
      <c r="C26" t="s">
        <v>110</v>
      </c>
      <c r="D26" s="16" t="s">
        <v>32</v>
      </c>
      <c r="E26" s="16" t="s">
        <v>32</v>
      </c>
      <c r="F26" s="16" t="s">
        <v>35</v>
      </c>
      <c r="G26" s="16" t="s">
        <v>35</v>
      </c>
      <c r="H26" s="16" t="s">
        <v>35</v>
      </c>
      <c r="I26" s="16" t="s">
        <v>35</v>
      </c>
      <c r="J26" s="16" t="s">
        <v>32</v>
      </c>
      <c r="K26" s="16" t="s">
        <v>32</v>
      </c>
      <c r="L26" s="16" t="s">
        <v>32</v>
      </c>
      <c r="M26" s="16" t="s">
        <v>35</v>
      </c>
      <c r="N26" s="16" t="s">
        <v>32</v>
      </c>
      <c r="O26" s="16" t="s">
        <v>32</v>
      </c>
      <c r="P26" s="16" t="s">
        <v>35</v>
      </c>
      <c r="Q26" s="6" t="s">
        <v>32</v>
      </c>
      <c r="R26" s="16" t="s">
        <v>32</v>
      </c>
      <c r="S26" s="16" t="s">
        <v>32</v>
      </c>
      <c r="T26" s="16" t="s">
        <v>32</v>
      </c>
      <c r="U26" s="16" t="s">
        <v>35</v>
      </c>
      <c r="V26" s="16" t="s">
        <v>35</v>
      </c>
      <c r="W26" s="16" t="s">
        <v>32</v>
      </c>
      <c r="X26">
        <f t="shared" si="0"/>
        <v>8</v>
      </c>
      <c r="Y26">
        <f t="shared" si="1"/>
        <v>4</v>
      </c>
      <c r="Z26" s="6">
        <v>4</v>
      </c>
      <c r="AA26" s="27">
        <f>10*(COUNTIF(Tabla1[[#This Row],[1.1]:[2.6]],"1 P")+0.5*COUNTIF(Tabla1[[#This Row],[1.1]:[2.6]],"0.5 "))/(COUNTIF(Tabla1[[#This Row],[1.1]:[2.6]],"1 P")+COUNTIF(Tabla1[[#This Row],[1.1]:[2.6]],"0 F")+COUNTIF(Tabla1[[#This Row],[1.1]:[2.6]],"0.5 P"))</f>
        <v>4</v>
      </c>
      <c r="AB26"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4.4444444444444446</v>
      </c>
      <c r="AC26" s="6" t="s">
        <v>10</v>
      </c>
      <c r="AD26" s="6" t="str">
        <f>IF(X26&gt;2,"No válido",IF(Y26&lt;3,"AA","A"))</f>
        <v>No válido</v>
      </c>
      <c r="AE26" s="6" t="str">
        <f>IF(X26&gt;3,"No válido",IF(Y26&lt;4,"AA","A"))</f>
        <v>No válido</v>
      </c>
    </row>
    <row r="27" spans="1:31" x14ac:dyDescent="0.25">
      <c r="A27" t="s">
        <v>160</v>
      </c>
      <c r="B27" s="6" t="s">
        <v>74</v>
      </c>
      <c r="C27" t="s">
        <v>112</v>
      </c>
      <c r="D27" s="16" t="s">
        <v>32</v>
      </c>
      <c r="E27" s="16" t="s">
        <v>32</v>
      </c>
      <c r="F27" s="16" t="s">
        <v>32</v>
      </c>
      <c r="G27" s="16" t="s">
        <v>34</v>
      </c>
      <c r="H27" s="16" t="s">
        <v>32</v>
      </c>
      <c r="I27" s="16" t="s">
        <v>32</v>
      </c>
      <c r="J27" s="16" t="s">
        <v>32</v>
      </c>
      <c r="K27" s="16" t="s">
        <v>35</v>
      </c>
      <c r="L27" s="16" t="s">
        <v>32</v>
      </c>
      <c r="M27" s="16" t="s">
        <v>35</v>
      </c>
      <c r="N27" s="16" t="s">
        <v>32</v>
      </c>
      <c r="O27" s="16" t="s">
        <v>32</v>
      </c>
      <c r="P27" s="16" t="s">
        <v>35</v>
      </c>
      <c r="Q27" s="16" t="s">
        <v>32</v>
      </c>
      <c r="R27" s="16" t="s">
        <v>32</v>
      </c>
      <c r="S27" s="16" t="s">
        <v>32</v>
      </c>
      <c r="T27" s="16" t="s">
        <v>35</v>
      </c>
      <c r="U27" s="16" t="s">
        <v>32</v>
      </c>
      <c r="V27" s="16" t="s">
        <v>32</v>
      </c>
      <c r="W27" s="16" t="s">
        <v>35</v>
      </c>
      <c r="X27">
        <f t="shared" si="0"/>
        <v>10</v>
      </c>
      <c r="Y27">
        <f t="shared" si="1"/>
        <v>4</v>
      </c>
      <c r="Z27" s="6">
        <v>2.6</v>
      </c>
      <c r="AA27" s="27">
        <f>10*(COUNTIF(Tabla1[[#This Row],[1.1]:[2.6]],"1 P")+0.5*COUNTIF(Tabla1[[#This Row],[1.1]:[2.6]],"0.5 "))/(COUNTIF(Tabla1[[#This Row],[1.1]:[2.6]],"1 P")+COUNTIF(Tabla1[[#This Row],[1.1]:[2.6]],"0 F")+COUNTIF(Tabla1[[#This Row],[1.1]:[2.6]],"0.5 P"))</f>
        <v>2.6315789473684212</v>
      </c>
      <c r="AB27"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2.9411764705882355</v>
      </c>
      <c r="AC27" s="6" t="s">
        <v>10</v>
      </c>
      <c r="AD27" s="6" t="str">
        <f>IF(X27&gt;2,"No válido",IF(Y27&lt;3,"AA","A"))</f>
        <v>No válido</v>
      </c>
      <c r="AE27" s="6" t="str">
        <f>IF(X27&gt;3,"No válido",IF(Y27&lt;4,"AA","A"))</f>
        <v>No válido</v>
      </c>
    </row>
    <row r="28" spans="1:31" x14ac:dyDescent="0.25">
      <c r="A28" t="s">
        <v>160</v>
      </c>
      <c r="B28" s="6" t="s">
        <v>75</v>
      </c>
      <c r="C28" t="s">
        <v>113</v>
      </c>
      <c r="D28" s="16" t="s">
        <v>32</v>
      </c>
      <c r="E28" s="16" t="s">
        <v>32</v>
      </c>
      <c r="F28" s="16" t="s">
        <v>32</v>
      </c>
      <c r="G28" s="16" t="s">
        <v>34</v>
      </c>
      <c r="H28" s="16" t="s">
        <v>32</v>
      </c>
      <c r="I28" s="16" t="s">
        <v>32</v>
      </c>
      <c r="J28" s="16" t="s">
        <v>32</v>
      </c>
      <c r="K28" s="16" t="s">
        <v>32</v>
      </c>
      <c r="L28" s="16" t="s">
        <v>32</v>
      </c>
      <c r="M28" s="16" t="s">
        <v>35</v>
      </c>
      <c r="N28" s="16" t="s">
        <v>32</v>
      </c>
      <c r="O28" s="16" t="s">
        <v>32</v>
      </c>
      <c r="P28" s="16" t="s">
        <v>35</v>
      </c>
      <c r="Q28" s="16" t="s">
        <v>32</v>
      </c>
      <c r="R28" s="16" t="s">
        <v>35</v>
      </c>
      <c r="S28" s="16" t="s">
        <v>32</v>
      </c>
      <c r="T28" s="16" t="s">
        <v>35</v>
      </c>
      <c r="U28" s="16" t="s">
        <v>32</v>
      </c>
      <c r="V28" s="16" t="s">
        <v>35</v>
      </c>
      <c r="W28" s="16" t="s">
        <v>35</v>
      </c>
      <c r="X28">
        <f t="shared" si="0"/>
        <v>11</v>
      </c>
      <c r="Y28">
        <f t="shared" si="1"/>
        <v>2</v>
      </c>
      <c r="Z28" s="6">
        <v>3.2</v>
      </c>
      <c r="AA28" s="27">
        <f>10*(COUNTIF(Tabla1[[#This Row],[1.1]:[2.6]],"1 P")+0.5*COUNTIF(Tabla1[[#This Row],[1.1]:[2.6]],"0.5 "))/(COUNTIF(Tabla1[[#This Row],[1.1]:[2.6]],"1 P")+COUNTIF(Tabla1[[#This Row],[1.1]:[2.6]],"0 F")+COUNTIF(Tabla1[[#This Row],[1.1]:[2.6]],"0.5 P"))</f>
        <v>3.1578947368421053</v>
      </c>
      <c r="AB28"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2.9411764705882355</v>
      </c>
      <c r="AC28" s="6" t="s">
        <v>10</v>
      </c>
      <c r="AD28" s="6" t="str">
        <f>IF(X28&gt;2,"No válido",IF(Y28&lt;3,"AA","A"))</f>
        <v>No válido</v>
      </c>
      <c r="AE28" s="6" t="str">
        <f>IF(X28&gt;3,"No válido",IF(Y28&lt;4,"AA","A"))</f>
        <v>No válido</v>
      </c>
    </row>
    <row r="29" spans="1:31" x14ac:dyDescent="0.25">
      <c r="A29" t="s">
        <v>160</v>
      </c>
      <c r="B29" s="6" t="s">
        <v>76</v>
      </c>
      <c r="C29" t="s">
        <v>115</v>
      </c>
      <c r="D29" s="16" t="s">
        <v>32</v>
      </c>
      <c r="E29" s="16" t="s">
        <v>32</v>
      </c>
      <c r="F29" s="16" t="s">
        <v>35</v>
      </c>
      <c r="G29" s="16" t="s">
        <v>34</v>
      </c>
      <c r="H29" s="16" t="s">
        <v>32</v>
      </c>
      <c r="I29" s="16" t="s">
        <v>35</v>
      </c>
      <c r="J29" s="16" t="s">
        <v>32</v>
      </c>
      <c r="K29" s="16" t="s">
        <v>32</v>
      </c>
      <c r="L29" s="16" t="s">
        <v>32</v>
      </c>
      <c r="M29" s="16" t="s">
        <v>35</v>
      </c>
      <c r="N29" s="16" t="s">
        <v>32</v>
      </c>
      <c r="O29" s="16" t="s">
        <v>32</v>
      </c>
      <c r="P29" s="16" t="s">
        <v>35</v>
      </c>
      <c r="Q29" s="16" t="s">
        <v>32</v>
      </c>
      <c r="R29" s="16" t="s">
        <v>32</v>
      </c>
      <c r="S29" s="16" t="s">
        <v>35</v>
      </c>
      <c r="T29" s="16" t="s">
        <v>32</v>
      </c>
      <c r="U29" s="16" t="s">
        <v>35</v>
      </c>
      <c r="V29" s="16" t="s">
        <v>32</v>
      </c>
      <c r="W29" s="16" t="s">
        <v>32</v>
      </c>
      <c r="X29">
        <f t="shared" si="0"/>
        <v>9</v>
      </c>
      <c r="Y29">
        <f t="shared" si="1"/>
        <v>4</v>
      </c>
      <c r="Z29" s="6">
        <v>3.2</v>
      </c>
      <c r="AA29" s="27">
        <f>10*(COUNTIF(Tabla1[[#This Row],[1.1]:[2.6]],"1 P")+0.5*COUNTIF(Tabla1[[#This Row],[1.1]:[2.6]],"0.5 "))/(COUNTIF(Tabla1[[#This Row],[1.1]:[2.6]],"1 P")+COUNTIF(Tabla1[[#This Row],[1.1]:[2.6]],"0 F")+COUNTIF(Tabla1[[#This Row],[1.1]:[2.6]],"0.5 P"))</f>
        <v>3.1578947368421053</v>
      </c>
      <c r="AB29"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3.5294117647058822</v>
      </c>
      <c r="AC29" s="6" t="s">
        <v>10</v>
      </c>
      <c r="AD29" s="6" t="str">
        <f>IF(X29&gt;2,"No válido",IF(Y29&lt;3,"AA","A"))</f>
        <v>No válido</v>
      </c>
      <c r="AE29" s="6" t="str">
        <f>IF(X29&gt;3,"No válido",IF(Y29&lt;4,"AA","A"))</f>
        <v>No válido</v>
      </c>
    </row>
    <row r="30" spans="1:31" x14ac:dyDescent="0.25">
      <c r="A30" t="s">
        <v>160</v>
      </c>
      <c r="B30" s="6" t="s">
        <v>77</v>
      </c>
      <c r="C30" t="s">
        <v>117</v>
      </c>
      <c r="D30" s="16" t="s">
        <v>35</v>
      </c>
      <c r="E30" s="16" t="s">
        <v>32</v>
      </c>
      <c r="F30" s="16" t="s">
        <v>35</v>
      </c>
      <c r="G30" s="16" t="s">
        <v>34</v>
      </c>
      <c r="H30" s="16" t="s">
        <v>32</v>
      </c>
      <c r="I30" s="16" t="s">
        <v>32</v>
      </c>
      <c r="J30" s="16" t="s">
        <v>32</v>
      </c>
      <c r="K30" s="16" t="s">
        <v>35</v>
      </c>
      <c r="L30" s="16" t="s">
        <v>34</v>
      </c>
      <c r="M30" s="16" t="s">
        <v>34</v>
      </c>
      <c r="N30" s="16" t="s">
        <v>35</v>
      </c>
      <c r="O30" s="16" t="s">
        <v>32</v>
      </c>
      <c r="P30" s="16" t="s">
        <v>35</v>
      </c>
      <c r="Q30" s="16" t="s">
        <v>32</v>
      </c>
      <c r="R30" s="16" t="s">
        <v>32</v>
      </c>
      <c r="S30" s="16" t="s">
        <v>32</v>
      </c>
      <c r="T30" s="16" t="s">
        <v>35</v>
      </c>
      <c r="U30" s="16" t="s">
        <v>32</v>
      </c>
      <c r="V30" s="16" t="s">
        <v>35</v>
      </c>
      <c r="W30" s="16" t="s">
        <v>35</v>
      </c>
      <c r="X30">
        <f t="shared" si="0"/>
        <v>6</v>
      </c>
      <c r="Y30">
        <f t="shared" si="1"/>
        <v>3</v>
      </c>
      <c r="Z30" s="6">
        <v>4.7</v>
      </c>
      <c r="AA30" s="27">
        <f>10*(COUNTIF(Tabla1[[#This Row],[1.1]:[2.6]],"1 P")+0.5*COUNTIF(Tabla1[[#This Row],[1.1]:[2.6]],"0.5 "))/(COUNTIF(Tabla1[[#This Row],[1.1]:[2.6]],"1 P")+COUNTIF(Tabla1[[#This Row],[1.1]:[2.6]],"0 F")+COUNTIF(Tabla1[[#This Row],[1.1]:[2.6]],"0.5 P"))</f>
        <v>4.7058823529411766</v>
      </c>
      <c r="AB30"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5.333333333333333</v>
      </c>
      <c r="AC30" s="6" t="s">
        <v>10</v>
      </c>
      <c r="AD30" s="6" t="str">
        <f>IF(X30&gt;2,"No válido",IF(Y30&lt;3,"AA","A"))</f>
        <v>No válido</v>
      </c>
      <c r="AE30" s="6" t="str">
        <f>IF(X30&gt;3,"No válido",IF(Y30&lt;4,"AA","A"))</f>
        <v>No válido</v>
      </c>
    </row>
    <row r="31" spans="1:31" x14ac:dyDescent="0.25">
      <c r="A31" t="s">
        <v>160</v>
      </c>
      <c r="B31" s="6" t="s">
        <v>78</v>
      </c>
      <c r="C31" t="s">
        <v>118</v>
      </c>
      <c r="D31" s="16" t="s">
        <v>35</v>
      </c>
      <c r="E31" s="16" t="s">
        <v>32</v>
      </c>
      <c r="F31" s="16" t="s">
        <v>35</v>
      </c>
      <c r="G31" s="16" t="s">
        <v>34</v>
      </c>
      <c r="H31" s="16" t="s">
        <v>32</v>
      </c>
      <c r="I31" s="16" t="s">
        <v>32</v>
      </c>
      <c r="J31" s="16" t="s">
        <v>32</v>
      </c>
      <c r="K31" s="16" t="s">
        <v>35</v>
      </c>
      <c r="L31" s="16" t="s">
        <v>32</v>
      </c>
      <c r="M31" s="16" t="s">
        <v>35</v>
      </c>
      <c r="N31" s="16" t="s">
        <v>35</v>
      </c>
      <c r="O31" s="16" t="s">
        <v>32</v>
      </c>
      <c r="P31" s="16" t="s">
        <v>35</v>
      </c>
      <c r="Q31" s="16" t="s">
        <v>32</v>
      </c>
      <c r="R31" s="16" t="s">
        <v>32</v>
      </c>
      <c r="S31" s="16" t="s">
        <v>35</v>
      </c>
      <c r="T31" s="16" t="s">
        <v>35</v>
      </c>
      <c r="U31" s="16" t="s">
        <v>35</v>
      </c>
      <c r="V31" s="16" t="s">
        <v>32</v>
      </c>
      <c r="W31" s="16" t="s">
        <v>35</v>
      </c>
      <c r="X31">
        <f t="shared" si="0"/>
        <v>7</v>
      </c>
      <c r="Y31">
        <f t="shared" si="1"/>
        <v>2</v>
      </c>
      <c r="Z31" s="6">
        <v>5.3</v>
      </c>
      <c r="AA31" s="27">
        <f>10*(COUNTIF(Tabla1[[#This Row],[1.1]:[2.6]],"1 P")+0.5*COUNTIF(Tabla1[[#This Row],[1.1]:[2.6]],"0.5 "))/(COUNTIF(Tabla1[[#This Row],[1.1]:[2.6]],"1 P")+COUNTIF(Tabla1[[#This Row],[1.1]:[2.6]],"0 F")+COUNTIF(Tabla1[[#This Row],[1.1]:[2.6]],"0.5 P"))</f>
        <v>5.2631578947368425</v>
      </c>
      <c r="AB31"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5.882352941176471</v>
      </c>
      <c r="AC31" s="6" t="s">
        <v>10</v>
      </c>
      <c r="AD31" s="6" t="str">
        <f>IF(X31&gt;2,"No válido",IF(Y31&lt;3,"AA","A"))</f>
        <v>No válido</v>
      </c>
      <c r="AE31" s="6" t="str">
        <f>IF(X31&gt;3,"No válido",IF(Y31&lt;4,"AA","A"))</f>
        <v>No válido</v>
      </c>
    </row>
    <row r="32" spans="1:31" x14ac:dyDescent="0.25">
      <c r="A32" t="s">
        <v>160</v>
      </c>
      <c r="B32" s="6" t="s">
        <v>79</v>
      </c>
      <c r="C32" t="s">
        <v>120</v>
      </c>
      <c r="D32" s="16" t="s">
        <v>32</v>
      </c>
      <c r="E32" s="16" t="s">
        <v>32</v>
      </c>
      <c r="F32" s="16" t="s">
        <v>35</v>
      </c>
      <c r="G32" s="16" t="s">
        <v>34</v>
      </c>
      <c r="H32" s="16" t="s">
        <v>35</v>
      </c>
      <c r="I32" s="16" t="s">
        <v>32</v>
      </c>
      <c r="J32" s="16" t="s">
        <v>32</v>
      </c>
      <c r="K32" s="16" t="s">
        <v>35</v>
      </c>
      <c r="L32" s="16" t="s">
        <v>32</v>
      </c>
      <c r="M32" s="16" t="s">
        <v>35</v>
      </c>
      <c r="N32" s="16" t="s">
        <v>35</v>
      </c>
      <c r="O32" s="16" t="s">
        <v>32</v>
      </c>
      <c r="P32" s="16" t="s">
        <v>35</v>
      </c>
      <c r="Q32" s="16" t="s">
        <v>32</v>
      </c>
      <c r="R32" s="16" t="s">
        <v>32</v>
      </c>
      <c r="S32" s="16" t="s">
        <v>32</v>
      </c>
      <c r="T32" s="16" t="s">
        <v>35</v>
      </c>
      <c r="U32" s="16" t="s">
        <v>32</v>
      </c>
      <c r="V32" s="16" t="s">
        <v>32</v>
      </c>
      <c r="W32" s="16" t="s">
        <v>35</v>
      </c>
      <c r="X32">
        <f t="shared" si="0"/>
        <v>7</v>
      </c>
      <c r="Y32">
        <f t="shared" si="1"/>
        <v>4</v>
      </c>
      <c r="Z32" s="6">
        <v>4.2</v>
      </c>
      <c r="AA32" s="27">
        <f>10*(COUNTIF(Tabla1[[#This Row],[1.1]:[2.6]],"1 P")+0.5*COUNTIF(Tabla1[[#This Row],[1.1]:[2.6]],"0.5 "))/(COUNTIF(Tabla1[[#This Row],[1.1]:[2.6]],"1 P")+COUNTIF(Tabla1[[#This Row],[1.1]:[2.6]],"0 F")+COUNTIF(Tabla1[[#This Row],[1.1]:[2.6]],"0.5 P"))</f>
        <v>4.2105263157894735</v>
      </c>
      <c r="AB32"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4.7058823529411766</v>
      </c>
      <c r="AC32" s="6" t="s">
        <v>10</v>
      </c>
      <c r="AD32" s="6" t="str">
        <f>IF(X32&gt;2,"No válido",IF(Y32&lt;3,"AA","A"))</f>
        <v>No válido</v>
      </c>
      <c r="AE32" s="6" t="str">
        <f>IF(X32&gt;3,"No válido",IF(Y32&lt;4,"AA","A"))</f>
        <v>No válido</v>
      </c>
    </row>
    <row r="33" spans="1:31" x14ac:dyDescent="0.25">
      <c r="A33" t="s">
        <v>161</v>
      </c>
      <c r="B33" s="6" t="s">
        <v>49</v>
      </c>
      <c r="C33" t="s">
        <v>121</v>
      </c>
      <c r="D33" s="16" t="s">
        <v>35</v>
      </c>
      <c r="E33" s="16" t="s">
        <v>32</v>
      </c>
      <c r="F33" s="16" t="s">
        <v>32</v>
      </c>
      <c r="G33" s="16" t="s">
        <v>34</v>
      </c>
      <c r="H33" s="16" t="s">
        <v>32</v>
      </c>
      <c r="I33" s="16" t="s">
        <v>32</v>
      </c>
      <c r="J33" s="16" t="s">
        <v>32</v>
      </c>
      <c r="K33" s="16" t="s">
        <v>35</v>
      </c>
      <c r="L33" s="16" t="s">
        <v>35</v>
      </c>
      <c r="M33" s="16" t="s">
        <v>35</v>
      </c>
      <c r="N33" s="16" t="s">
        <v>35</v>
      </c>
      <c r="O33" s="16" t="s">
        <v>32</v>
      </c>
      <c r="P33" s="16" t="s">
        <v>35</v>
      </c>
      <c r="Q33" s="16" t="s">
        <v>32</v>
      </c>
      <c r="R33" s="16" t="s">
        <v>32</v>
      </c>
      <c r="S33" s="16" t="s">
        <v>32</v>
      </c>
      <c r="T33" s="16" t="s">
        <v>35</v>
      </c>
      <c r="U33" s="16" t="s">
        <v>32</v>
      </c>
      <c r="V33" s="16" t="s">
        <v>32</v>
      </c>
      <c r="W33" s="16" t="s">
        <v>35</v>
      </c>
      <c r="X33">
        <f t="shared" si="0"/>
        <v>7</v>
      </c>
      <c r="Y33">
        <f t="shared" si="1"/>
        <v>4</v>
      </c>
      <c r="Z33" s="6">
        <v>4.2</v>
      </c>
      <c r="AA33" s="27">
        <f>10*(COUNTIF(Tabla1[[#This Row],[1.1]:[2.6]],"1 P")+0.5*COUNTIF(Tabla1[[#This Row],[1.1]:[2.6]],"0.5 "))/(COUNTIF(Tabla1[[#This Row],[1.1]:[2.6]],"1 P")+COUNTIF(Tabla1[[#This Row],[1.1]:[2.6]],"0 F")+COUNTIF(Tabla1[[#This Row],[1.1]:[2.6]],"0.5 P"))</f>
        <v>4.2105263157894735</v>
      </c>
      <c r="AB33"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4.7058823529411766</v>
      </c>
      <c r="AC33" s="6" t="s">
        <v>10</v>
      </c>
      <c r="AD33" s="6" t="str">
        <f>IF(X33&gt;2,"No válido",IF(Y33&lt;3,"AA","A"))</f>
        <v>No válido</v>
      </c>
      <c r="AE33" s="6" t="str">
        <f>IF(X33&gt;3,"No válido",IF(Y33&lt;4,"AA","A"))</f>
        <v>No válido</v>
      </c>
    </row>
    <row r="34" spans="1:31" x14ac:dyDescent="0.25">
      <c r="A34" t="s">
        <v>161</v>
      </c>
      <c r="B34" s="6" t="s">
        <v>50</v>
      </c>
      <c r="C34" s="9" t="s">
        <v>162</v>
      </c>
      <c r="D34" s="16" t="s">
        <v>32</v>
      </c>
      <c r="E34" s="16" t="s">
        <v>32</v>
      </c>
      <c r="F34" s="16" t="s">
        <v>35</v>
      </c>
      <c r="G34" s="16" t="s">
        <v>34</v>
      </c>
      <c r="H34" s="16" t="s">
        <v>32</v>
      </c>
      <c r="I34" s="16" t="s">
        <v>32</v>
      </c>
      <c r="J34" s="16" t="s">
        <v>32</v>
      </c>
      <c r="K34" s="16" t="s">
        <v>35</v>
      </c>
      <c r="L34" s="16" t="s">
        <v>35</v>
      </c>
      <c r="M34" s="16" t="s">
        <v>34</v>
      </c>
      <c r="N34" s="16" t="s">
        <v>35</v>
      </c>
      <c r="O34" s="16" t="s">
        <v>32</v>
      </c>
      <c r="P34" s="16" t="s">
        <v>35</v>
      </c>
      <c r="Q34" s="16" t="s">
        <v>32</v>
      </c>
      <c r="R34" s="16" t="s">
        <v>32</v>
      </c>
      <c r="S34" s="16" t="s">
        <v>35</v>
      </c>
      <c r="T34" s="16" t="s">
        <v>35</v>
      </c>
      <c r="U34" s="16" t="s">
        <v>32</v>
      </c>
      <c r="V34" s="16" t="s">
        <v>35</v>
      </c>
      <c r="W34" s="16" t="s">
        <v>35</v>
      </c>
      <c r="X34">
        <f t="shared" ref="X34:X65" si="2">COUNTIF(D34:Q34,"0 F")</f>
        <v>7</v>
      </c>
      <c r="Y34">
        <f t="shared" ref="Y34:Y65" si="3">COUNTIF(R34:W34,"0 F")</f>
        <v>2</v>
      </c>
      <c r="Z34" s="6">
        <v>5</v>
      </c>
      <c r="AA34" s="27">
        <f>10*(COUNTIF(Tabla1[[#This Row],[1.1]:[2.6]],"1 P")+0.5*COUNTIF(Tabla1[[#This Row],[1.1]:[2.6]],"0.5 "))/(COUNTIF(Tabla1[[#This Row],[1.1]:[2.6]],"1 P")+COUNTIF(Tabla1[[#This Row],[1.1]:[2.6]],"0 F")+COUNTIF(Tabla1[[#This Row],[1.1]:[2.6]],"0.5 P"))</f>
        <v>5</v>
      </c>
      <c r="AB34"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5.625</v>
      </c>
      <c r="AC34" s="6" t="s">
        <v>10</v>
      </c>
      <c r="AD34" s="6" t="str">
        <f>IF(X34&gt;2,"No válido",IF(Y34&lt;3,"AA","A"))</f>
        <v>No válido</v>
      </c>
      <c r="AE34" s="6" t="str">
        <f>IF(X34&gt;3,"No válido",IF(Y34&lt;4,"AA","A"))</f>
        <v>No válido</v>
      </c>
    </row>
    <row r="35" spans="1:31" x14ac:dyDescent="0.25">
      <c r="A35" t="s">
        <v>161</v>
      </c>
      <c r="B35" s="6" t="s">
        <v>51</v>
      </c>
      <c r="C35" t="s">
        <v>123</v>
      </c>
      <c r="D35" s="16" t="s">
        <v>32</v>
      </c>
      <c r="E35" s="16" t="s">
        <v>33</v>
      </c>
      <c r="F35" s="16" t="s">
        <v>32</v>
      </c>
      <c r="G35" s="16" t="s">
        <v>32</v>
      </c>
      <c r="H35" s="16" t="s">
        <v>35</v>
      </c>
      <c r="I35" s="16" t="s">
        <v>32</v>
      </c>
      <c r="J35" s="16" t="s">
        <v>32</v>
      </c>
      <c r="K35" s="16" t="s">
        <v>35</v>
      </c>
      <c r="L35" s="16" t="s">
        <v>32</v>
      </c>
      <c r="M35" s="16" t="s">
        <v>32</v>
      </c>
      <c r="N35" s="16" t="s">
        <v>32</v>
      </c>
      <c r="O35" s="16" t="s">
        <v>32</v>
      </c>
      <c r="P35" s="16" t="s">
        <v>35</v>
      </c>
      <c r="Q35" s="16" t="s">
        <v>32</v>
      </c>
      <c r="R35" s="16" t="s">
        <v>35</v>
      </c>
      <c r="S35" s="16" t="s">
        <v>32</v>
      </c>
      <c r="T35" s="16" t="s">
        <v>35</v>
      </c>
      <c r="U35" s="16" t="s">
        <v>32</v>
      </c>
      <c r="V35" s="16" t="s">
        <v>35</v>
      </c>
      <c r="W35" s="16" t="s">
        <v>35</v>
      </c>
      <c r="X35">
        <f t="shared" si="2"/>
        <v>10</v>
      </c>
      <c r="Y35">
        <f t="shared" si="3"/>
        <v>2</v>
      </c>
      <c r="Z35" s="6">
        <v>3.5</v>
      </c>
      <c r="AA35" s="27">
        <f>10*(COUNTIF(Tabla1[[#This Row],[1.1]:[2.6]],"1 P")+0.5*COUNTIF(Tabla1[[#This Row],[1.1]:[2.6]],"0.5 "))/(COUNTIF(Tabla1[[#This Row],[1.1]:[2.6]],"1 P")+COUNTIF(Tabla1[[#This Row],[1.1]:[2.6]],"0 F")+COUNTIF(Tabla1[[#This Row],[1.1]:[2.6]],"0.5 P"))</f>
        <v>3.5</v>
      </c>
      <c r="AB35"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3.8235294117647061</v>
      </c>
      <c r="AC35" s="6" t="s">
        <v>10</v>
      </c>
      <c r="AD35" s="6" t="str">
        <f>IF(X35&gt;2,"No válido",IF(Y35&lt;3,"AA","A"))</f>
        <v>No válido</v>
      </c>
      <c r="AE35" s="6" t="str">
        <f>IF(X35&gt;3,"No válido",IF(Y35&lt;4,"AA","A"))</f>
        <v>No válido</v>
      </c>
    </row>
    <row r="36" spans="1:31" x14ac:dyDescent="0.25">
      <c r="A36" t="s">
        <v>161</v>
      </c>
      <c r="B36" s="6" t="s">
        <v>52</v>
      </c>
      <c r="C36" s="9" t="s">
        <v>124</v>
      </c>
      <c r="D36" s="16" t="s">
        <v>32</v>
      </c>
      <c r="E36" s="16" t="s">
        <v>32</v>
      </c>
      <c r="F36" s="16" t="s">
        <v>35</v>
      </c>
      <c r="G36" s="16" t="s">
        <v>34</v>
      </c>
      <c r="H36" s="16" t="s">
        <v>35</v>
      </c>
      <c r="I36" s="16" t="s">
        <v>35</v>
      </c>
      <c r="J36" s="16" t="s">
        <v>32</v>
      </c>
      <c r="K36" s="16" t="s">
        <v>35</v>
      </c>
      <c r="L36" s="16" t="s">
        <v>32</v>
      </c>
      <c r="M36" s="16" t="s">
        <v>35</v>
      </c>
      <c r="N36" s="16" t="s">
        <v>32</v>
      </c>
      <c r="O36" s="16" t="s">
        <v>35</v>
      </c>
      <c r="P36" s="16" t="s">
        <v>35</v>
      </c>
      <c r="Q36" s="16" t="s">
        <v>32</v>
      </c>
      <c r="R36" s="16" t="s">
        <v>32</v>
      </c>
      <c r="S36" s="16" t="s">
        <v>32</v>
      </c>
      <c r="T36" s="16" t="s">
        <v>35</v>
      </c>
      <c r="U36" s="16" t="s">
        <v>32</v>
      </c>
      <c r="V36" s="16" t="s">
        <v>32</v>
      </c>
      <c r="W36" s="16" t="s">
        <v>35</v>
      </c>
      <c r="X36">
        <f t="shared" si="2"/>
        <v>6</v>
      </c>
      <c r="Y36">
        <f t="shared" si="3"/>
        <v>4</v>
      </c>
      <c r="Z36" s="6">
        <v>4.7</v>
      </c>
      <c r="AA36" s="27">
        <f>10*(COUNTIF(Tabla1[[#This Row],[1.1]:[2.6]],"1 P")+0.5*COUNTIF(Tabla1[[#This Row],[1.1]:[2.6]],"0.5 "))/(COUNTIF(Tabla1[[#This Row],[1.1]:[2.6]],"1 P")+COUNTIF(Tabla1[[#This Row],[1.1]:[2.6]],"0 F")+COUNTIF(Tabla1[[#This Row],[1.1]:[2.6]],"0.5 P"))</f>
        <v>4.7368421052631575</v>
      </c>
      <c r="AB36"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5.2941176470588234</v>
      </c>
      <c r="AC36" s="6" t="s">
        <v>10</v>
      </c>
      <c r="AD36" s="6" t="str">
        <f>IF(X36&gt;2,"No válido",IF(Y36&lt;3,"AA","A"))</f>
        <v>No válido</v>
      </c>
      <c r="AE36" s="6" t="str">
        <f>IF(X36&gt;3,"No válido",IF(Y36&lt;4,"AA","A"))</f>
        <v>No válido</v>
      </c>
    </row>
    <row r="37" spans="1:31" x14ac:dyDescent="0.25">
      <c r="A37" t="s">
        <v>161</v>
      </c>
      <c r="B37" s="6" t="s">
        <v>53</v>
      </c>
      <c r="C37" t="s">
        <v>125</v>
      </c>
      <c r="D37" s="16" t="s">
        <v>35</v>
      </c>
      <c r="E37" s="16" t="s">
        <v>32</v>
      </c>
      <c r="F37" s="16" t="s">
        <v>35</v>
      </c>
      <c r="G37" s="16" t="s">
        <v>34</v>
      </c>
      <c r="H37" s="16" t="s">
        <v>35</v>
      </c>
      <c r="I37" s="16" t="s">
        <v>32</v>
      </c>
      <c r="J37" s="16" t="s">
        <v>32</v>
      </c>
      <c r="K37" s="16" t="s">
        <v>35</v>
      </c>
      <c r="L37" s="16" t="s">
        <v>35</v>
      </c>
      <c r="M37" s="16" t="s">
        <v>34</v>
      </c>
      <c r="N37" s="16" t="s">
        <v>35</v>
      </c>
      <c r="O37" s="16" t="s">
        <v>32</v>
      </c>
      <c r="P37" s="16" t="s">
        <v>35</v>
      </c>
      <c r="Q37" s="16" t="s">
        <v>35</v>
      </c>
      <c r="R37" s="16" t="s">
        <v>32</v>
      </c>
      <c r="S37" s="16" t="s">
        <v>35</v>
      </c>
      <c r="T37" s="16" t="s">
        <v>35</v>
      </c>
      <c r="U37" s="16" t="s">
        <v>32</v>
      </c>
      <c r="V37" s="16" t="s">
        <v>35</v>
      </c>
      <c r="W37" s="16" t="s">
        <v>32</v>
      </c>
      <c r="X37">
        <f t="shared" si="2"/>
        <v>4</v>
      </c>
      <c r="Y37">
        <f t="shared" si="3"/>
        <v>3</v>
      </c>
      <c r="Z37" s="6">
        <v>6.1</v>
      </c>
      <c r="AA37" s="27">
        <f>10*(COUNTIF(Tabla1[[#This Row],[1.1]:[2.6]],"1 P")+0.5*COUNTIF(Tabla1[[#This Row],[1.1]:[2.6]],"0.5 "))/(COUNTIF(Tabla1[[#This Row],[1.1]:[2.6]],"1 P")+COUNTIF(Tabla1[[#This Row],[1.1]:[2.6]],"0 F")+COUNTIF(Tabla1[[#This Row],[1.1]:[2.6]],"0.5 P"))</f>
        <v>6.1111111111111107</v>
      </c>
      <c r="AB37"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6.875</v>
      </c>
      <c r="AC37" s="6" t="s">
        <v>10</v>
      </c>
      <c r="AD37" s="6" t="str">
        <f>IF(X37&gt;2,"No válido",IF(Y37&lt;3,"AA","A"))</f>
        <v>No válido</v>
      </c>
      <c r="AE37" s="6" t="str">
        <f>IF(X37&gt;3,"No válido",IF(Y37&lt;4,"AA","A"))</f>
        <v>No válido</v>
      </c>
    </row>
    <row r="38" spans="1:31" x14ac:dyDescent="0.25">
      <c r="A38" t="s">
        <v>161</v>
      </c>
      <c r="B38" s="6" t="s">
        <v>54</v>
      </c>
      <c r="C38" s="9" t="s">
        <v>126</v>
      </c>
      <c r="D38" s="16" t="s">
        <v>35</v>
      </c>
      <c r="E38" s="16" t="s">
        <v>35</v>
      </c>
      <c r="F38" s="16" t="s">
        <v>35</v>
      </c>
      <c r="G38" s="16" t="s">
        <v>34</v>
      </c>
      <c r="H38" s="16" t="s">
        <v>32</v>
      </c>
      <c r="I38" s="16" t="s">
        <v>32</v>
      </c>
      <c r="J38" s="16" t="s">
        <v>32</v>
      </c>
      <c r="K38" s="16" t="s">
        <v>35</v>
      </c>
      <c r="L38" s="16" t="s">
        <v>35</v>
      </c>
      <c r="M38" s="16" t="s">
        <v>35</v>
      </c>
      <c r="N38" s="16" t="s">
        <v>32</v>
      </c>
      <c r="O38" s="16" t="s">
        <v>32</v>
      </c>
      <c r="P38" s="16" t="s">
        <v>35</v>
      </c>
      <c r="Q38" s="16" t="s">
        <v>35</v>
      </c>
      <c r="R38" s="16" t="s">
        <v>32</v>
      </c>
      <c r="S38" s="16" t="s">
        <v>35</v>
      </c>
      <c r="T38" s="16" t="s">
        <v>35</v>
      </c>
      <c r="U38" s="16" t="s">
        <v>32</v>
      </c>
      <c r="V38" s="16" t="s">
        <v>32</v>
      </c>
      <c r="W38" s="16" t="s">
        <v>35</v>
      </c>
      <c r="X38">
        <f t="shared" si="2"/>
        <v>5</v>
      </c>
      <c r="Y38">
        <f t="shared" si="3"/>
        <v>3</v>
      </c>
      <c r="Z38" s="6">
        <v>5.8</v>
      </c>
      <c r="AA38" s="27">
        <f>10*(COUNTIF(Tabla1[[#This Row],[1.1]:[2.6]],"1 P")+0.5*COUNTIF(Tabla1[[#This Row],[1.1]:[2.6]],"0.5 "))/(COUNTIF(Tabla1[[#This Row],[1.1]:[2.6]],"1 P")+COUNTIF(Tabla1[[#This Row],[1.1]:[2.6]],"0 F")+COUNTIF(Tabla1[[#This Row],[1.1]:[2.6]],"0.5 P"))</f>
        <v>5.7894736842105265</v>
      </c>
      <c r="AB38"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6.4705882352941178</v>
      </c>
      <c r="AC38" s="6" t="s">
        <v>10</v>
      </c>
      <c r="AD38" s="6" t="str">
        <f>IF(X38&gt;2,"No válido",IF(Y38&lt;3,"AA","A"))</f>
        <v>No válido</v>
      </c>
      <c r="AE38" s="6" t="str">
        <f>IF(X38&gt;3,"No válido",IF(Y38&lt;4,"AA","A"))</f>
        <v>No válido</v>
      </c>
    </row>
    <row r="39" spans="1:31" x14ac:dyDescent="0.25">
      <c r="A39" t="s">
        <v>161</v>
      </c>
      <c r="B39" s="6" t="s">
        <v>55</v>
      </c>
      <c r="C39" t="s">
        <v>127</v>
      </c>
      <c r="D39" s="16" t="s">
        <v>35</v>
      </c>
      <c r="E39" s="16" t="s">
        <v>32</v>
      </c>
      <c r="F39" s="16" t="s">
        <v>35</v>
      </c>
      <c r="G39" s="16" t="s">
        <v>34</v>
      </c>
      <c r="H39" s="16" t="s">
        <v>35</v>
      </c>
      <c r="I39" s="16" t="s">
        <v>35</v>
      </c>
      <c r="J39" s="16" t="s">
        <v>32</v>
      </c>
      <c r="K39" s="16" t="s">
        <v>35</v>
      </c>
      <c r="L39" s="16" t="s">
        <v>34</v>
      </c>
      <c r="M39" s="16" t="s">
        <v>34</v>
      </c>
      <c r="N39" s="16" t="s">
        <v>35</v>
      </c>
      <c r="O39" s="16" t="s">
        <v>35</v>
      </c>
      <c r="P39" s="16" t="s">
        <v>35</v>
      </c>
      <c r="Q39" s="16" t="s">
        <v>35</v>
      </c>
      <c r="R39" s="16" t="s">
        <v>32</v>
      </c>
      <c r="S39" s="16" t="s">
        <v>35</v>
      </c>
      <c r="T39" s="16" t="s">
        <v>35</v>
      </c>
      <c r="U39" s="16" t="s">
        <v>35</v>
      </c>
      <c r="V39" s="16" t="s">
        <v>32</v>
      </c>
      <c r="W39" s="16" t="s">
        <v>35</v>
      </c>
      <c r="X39">
        <f t="shared" si="2"/>
        <v>2</v>
      </c>
      <c r="Y39">
        <f t="shared" si="3"/>
        <v>2</v>
      </c>
      <c r="Z39" s="6">
        <v>7.6</v>
      </c>
      <c r="AA39" s="27">
        <f>10*(COUNTIF(Tabla1[[#This Row],[1.1]:[2.6]],"1 P")+0.5*COUNTIF(Tabla1[[#This Row],[1.1]:[2.6]],"0.5 "))/(COUNTIF(Tabla1[[#This Row],[1.1]:[2.6]],"1 P")+COUNTIF(Tabla1[[#This Row],[1.1]:[2.6]],"0 F")+COUNTIF(Tabla1[[#This Row],[1.1]:[2.6]],"0.5 P"))</f>
        <v>7.6470588235294121</v>
      </c>
      <c r="AB39"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8.6666666666666661</v>
      </c>
      <c r="AC39" s="6" t="s">
        <v>9</v>
      </c>
      <c r="AD39" s="6" t="str">
        <f>IF(X39&gt;2,"No válido",IF(Y39&lt;3,"AA","A"))</f>
        <v>AA</v>
      </c>
      <c r="AE39" s="6" t="str">
        <f>IF(X39&gt;3,"No válido",IF(Y39&lt;4,"AA","A"))</f>
        <v>AA</v>
      </c>
    </row>
    <row r="40" spans="1:31" x14ac:dyDescent="0.25">
      <c r="A40" t="s">
        <v>161</v>
      </c>
      <c r="B40" s="6" t="s">
        <v>56</v>
      </c>
      <c r="C40" s="9" t="s">
        <v>128</v>
      </c>
      <c r="D40" s="16" t="s">
        <v>32</v>
      </c>
      <c r="E40" s="16" t="s">
        <v>32</v>
      </c>
      <c r="F40" s="16" t="s">
        <v>32</v>
      </c>
      <c r="G40" s="16" t="s">
        <v>34</v>
      </c>
      <c r="H40" s="16" t="s">
        <v>32</v>
      </c>
      <c r="I40" s="16" t="s">
        <v>32</v>
      </c>
      <c r="J40" s="16" t="s">
        <v>32</v>
      </c>
      <c r="K40" s="16" t="s">
        <v>35</v>
      </c>
      <c r="L40" s="16" t="s">
        <v>32</v>
      </c>
      <c r="M40" s="16" t="s">
        <v>35</v>
      </c>
      <c r="N40" s="16" t="s">
        <v>35</v>
      </c>
      <c r="O40" s="16" t="s">
        <v>32</v>
      </c>
      <c r="P40" s="16" t="s">
        <v>35</v>
      </c>
      <c r="Q40" s="16" t="s">
        <v>32</v>
      </c>
      <c r="R40" s="16" t="s">
        <v>32</v>
      </c>
      <c r="S40" s="16" t="s">
        <v>35</v>
      </c>
      <c r="T40" s="16" t="s">
        <v>32</v>
      </c>
      <c r="U40" s="16" t="s">
        <v>32</v>
      </c>
      <c r="V40" s="16" t="s">
        <v>32</v>
      </c>
      <c r="W40" s="16" t="s">
        <v>35</v>
      </c>
      <c r="X40">
        <f t="shared" si="2"/>
        <v>9</v>
      </c>
      <c r="Y40">
        <f t="shared" si="3"/>
        <v>4</v>
      </c>
      <c r="Z40" s="6">
        <v>3.2</v>
      </c>
      <c r="AA40" s="27">
        <f>10*(COUNTIF(Tabla1[[#This Row],[1.1]:[2.6]],"1 P")+0.5*COUNTIF(Tabla1[[#This Row],[1.1]:[2.6]],"0.5 "))/(COUNTIF(Tabla1[[#This Row],[1.1]:[2.6]],"1 P")+COUNTIF(Tabla1[[#This Row],[1.1]:[2.6]],"0 F")+COUNTIF(Tabla1[[#This Row],[1.1]:[2.6]],"0.5 P"))</f>
        <v>3.1578947368421053</v>
      </c>
      <c r="AB40"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3.5294117647058822</v>
      </c>
      <c r="AC40" s="6" t="s">
        <v>10</v>
      </c>
      <c r="AD40" s="6" t="str">
        <f>IF(X40&gt;2,"No válido",IF(Y40&lt;3,"AA","A"))</f>
        <v>No válido</v>
      </c>
      <c r="AE40" s="6" t="str">
        <f>IF(X40&gt;3,"No válido",IF(Y40&lt;4,"AA","A"))</f>
        <v>No válido</v>
      </c>
    </row>
    <row r="41" spans="1:31" x14ac:dyDescent="0.25">
      <c r="A41" t="s">
        <v>161</v>
      </c>
      <c r="B41" s="6" t="s">
        <v>57</v>
      </c>
      <c r="C41" t="s">
        <v>129</v>
      </c>
      <c r="D41" s="16" t="s">
        <v>35</v>
      </c>
      <c r="E41" s="16" t="s">
        <v>32</v>
      </c>
      <c r="F41" s="16" t="s">
        <v>35</v>
      </c>
      <c r="G41" s="16" t="s">
        <v>34</v>
      </c>
      <c r="H41" s="16" t="s">
        <v>32</v>
      </c>
      <c r="I41" s="16" t="s">
        <v>32</v>
      </c>
      <c r="J41" s="16" t="s">
        <v>32</v>
      </c>
      <c r="K41" s="16" t="s">
        <v>35</v>
      </c>
      <c r="L41" s="16" t="s">
        <v>34</v>
      </c>
      <c r="M41" s="16" t="s">
        <v>34</v>
      </c>
      <c r="N41" s="16" t="s">
        <v>35</v>
      </c>
      <c r="O41" s="16" t="s">
        <v>32</v>
      </c>
      <c r="P41" s="16" t="s">
        <v>35</v>
      </c>
      <c r="Q41" s="16" t="s">
        <v>32</v>
      </c>
      <c r="R41" s="16" t="s">
        <v>32</v>
      </c>
      <c r="S41" s="16" t="s">
        <v>32</v>
      </c>
      <c r="T41" s="16" t="s">
        <v>35</v>
      </c>
      <c r="U41" s="16" t="s">
        <v>32</v>
      </c>
      <c r="V41" s="16" t="s">
        <v>32</v>
      </c>
      <c r="W41" s="16" t="s">
        <v>35</v>
      </c>
      <c r="X41">
        <f t="shared" si="2"/>
        <v>6</v>
      </c>
      <c r="Y41">
        <f t="shared" si="3"/>
        <v>4</v>
      </c>
      <c r="Z41" s="6">
        <v>4.0999999999999996</v>
      </c>
      <c r="AA41" s="27">
        <f>10*(COUNTIF(Tabla1[[#This Row],[1.1]:[2.6]],"1 P")+0.5*COUNTIF(Tabla1[[#This Row],[1.1]:[2.6]],"0.5 "))/(COUNTIF(Tabla1[[#This Row],[1.1]:[2.6]],"1 P")+COUNTIF(Tabla1[[#This Row],[1.1]:[2.6]],"0 F")+COUNTIF(Tabla1[[#This Row],[1.1]:[2.6]],"0.5 P"))</f>
        <v>4.117647058823529</v>
      </c>
      <c r="AB41"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4.666666666666667</v>
      </c>
      <c r="AC41" s="6" t="s">
        <v>10</v>
      </c>
      <c r="AD41" s="6" t="str">
        <f>IF(X41&gt;2,"No válido",IF(Y41&lt;3,"AA","A"))</f>
        <v>No válido</v>
      </c>
      <c r="AE41" s="6" t="str">
        <f>IF(X41&gt;3,"No válido",IF(Y41&lt;4,"AA","A"))</f>
        <v>No válido</v>
      </c>
    </row>
    <row r="42" spans="1:31" x14ac:dyDescent="0.25">
      <c r="A42" t="s">
        <v>161</v>
      </c>
      <c r="B42" s="6" t="s">
        <v>58</v>
      </c>
      <c r="C42" s="9" t="s">
        <v>131</v>
      </c>
      <c r="D42" s="16" t="s">
        <v>35</v>
      </c>
      <c r="E42" s="16" t="s">
        <v>32</v>
      </c>
      <c r="F42" s="16" t="s">
        <v>32</v>
      </c>
      <c r="G42" s="16" t="s">
        <v>35</v>
      </c>
      <c r="H42" s="16" t="s">
        <v>32</v>
      </c>
      <c r="I42" s="16" t="s">
        <v>32</v>
      </c>
      <c r="J42" s="16" t="s">
        <v>32</v>
      </c>
      <c r="K42" s="16" t="s">
        <v>35</v>
      </c>
      <c r="L42" s="16" t="s">
        <v>32</v>
      </c>
      <c r="M42" s="16" t="s">
        <v>35</v>
      </c>
      <c r="N42" s="16" t="s">
        <v>32</v>
      </c>
      <c r="O42" s="16" t="s">
        <v>32</v>
      </c>
      <c r="P42" s="16" t="s">
        <v>35</v>
      </c>
      <c r="Q42" s="16" t="s">
        <v>32</v>
      </c>
      <c r="R42" s="16" t="s">
        <v>32</v>
      </c>
      <c r="S42" s="16" t="s">
        <v>35</v>
      </c>
      <c r="T42" s="16" t="s">
        <v>35</v>
      </c>
      <c r="U42" s="16" t="s">
        <v>32</v>
      </c>
      <c r="V42" s="16" t="s">
        <v>32</v>
      </c>
      <c r="W42" s="16" t="s">
        <v>35</v>
      </c>
      <c r="X42">
        <f t="shared" si="2"/>
        <v>9</v>
      </c>
      <c r="Y42">
        <f t="shared" si="3"/>
        <v>3</v>
      </c>
      <c r="Z42" s="6">
        <v>4</v>
      </c>
      <c r="AA42" s="27">
        <f>10*(COUNTIF(Tabla1[[#This Row],[1.1]:[2.6]],"1 P")+0.5*COUNTIF(Tabla1[[#This Row],[1.1]:[2.6]],"0.5 "))/(COUNTIF(Tabla1[[#This Row],[1.1]:[2.6]],"1 P")+COUNTIF(Tabla1[[#This Row],[1.1]:[2.6]],"0 F")+COUNTIF(Tabla1[[#This Row],[1.1]:[2.6]],"0.5 P"))</f>
        <v>4</v>
      </c>
      <c r="AB42"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4.4444444444444446</v>
      </c>
      <c r="AC42" s="6" t="s">
        <v>10</v>
      </c>
      <c r="AD42" s="6" t="str">
        <f>IF(X42&gt;2,"No válido",IF(Y42&lt;3,"AA","A"))</f>
        <v>No válido</v>
      </c>
      <c r="AE42" s="6" t="str">
        <f>IF(X42&gt;3,"No válido",IF(Y42&lt;4,"AA","A"))</f>
        <v>No válido</v>
      </c>
    </row>
    <row r="43" spans="1:31" x14ac:dyDescent="0.25">
      <c r="A43" t="s">
        <v>161</v>
      </c>
      <c r="B43" s="6" t="s">
        <v>59</v>
      </c>
      <c r="C43" t="s">
        <v>132</v>
      </c>
      <c r="D43" s="16" t="s">
        <v>32</v>
      </c>
      <c r="E43" s="16" t="s">
        <v>35</v>
      </c>
      <c r="F43" s="16" t="s">
        <v>32</v>
      </c>
      <c r="G43" s="16" t="s">
        <v>34</v>
      </c>
      <c r="H43" s="16" t="s">
        <v>32</v>
      </c>
      <c r="I43" s="16" t="s">
        <v>32</v>
      </c>
      <c r="J43" s="16" t="s">
        <v>32</v>
      </c>
      <c r="K43" s="16" t="s">
        <v>35</v>
      </c>
      <c r="L43" s="16" t="s">
        <v>32</v>
      </c>
      <c r="M43" s="16" t="s">
        <v>35</v>
      </c>
      <c r="N43" s="16" t="s">
        <v>35</v>
      </c>
      <c r="O43" s="16" t="s">
        <v>32</v>
      </c>
      <c r="P43" s="16" t="s">
        <v>35</v>
      </c>
      <c r="Q43" s="16" t="s">
        <v>35</v>
      </c>
      <c r="R43" s="16" t="s">
        <v>32</v>
      </c>
      <c r="S43" s="16" t="s">
        <v>35</v>
      </c>
      <c r="T43" s="16" t="s">
        <v>32</v>
      </c>
      <c r="U43" s="16" t="s">
        <v>32</v>
      </c>
      <c r="V43" s="16" t="s">
        <v>35</v>
      </c>
      <c r="W43" s="16" t="s">
        <v>35</v>
      </c>
      <c r="X43">
        <f t="shared" si="2"/>
        <v>7</v>
      </c>
      <c r="Y43">
        <f t="shared" si="3"/>
        <v>3</v>
      </c>
      <c r="Z43" s="6">
        <v>4.7</v>
      </c>
      <c r="AA43" s="27">
        <f>10*(COUNTIF(Tabla1[[#This Row],[1.1]:[2.6]],"1 P")+0.5*COUNTIF(Tabla1[[#This Row],[1.1]:[2.6]],"0.5 "))/(COUNTIF(Tabla1[[#This Row],[1.1]:[2.6]],"1 P")+COUNTIF(Tabla1[[#This Row],[1.1]:[2.6]],"0 F")+COUNTIF(Tabla1[[#This Row],[1.1]:[2.6]],"0.5 P"))</f>
        <v>4.7368421052631575</v>
      </c>
      <c r="AB43"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5.2941176470588234</v>
      </c>
      <c r="AC43" s="6" t="s">
        <v>10</v>
      </c>
      <c r="AD43" s="6" t="str">
        <f>IF(X43&gt;2,"No válido",IF(Y43&lt;3,"AA","A"))</f>
        <v>No válido</v>
      </c>
      <c r="AE43" s="6" t="str">
        <f>IF(X43&gt;3,"No válido",IF(Y43&lt;4,"AA","A"))</f>
        <v>No válido</v>
      </c>
    </row>
    <row r="44" spans="1:31" x14ac:dyDescent="0.25">
      <c r="A44" t="s">
        <v>161</v>
      </c>
      <c r="B44" s="6" t="s">
        <v>60</v>
      </c>
      <c r="C44" s="9" t="s">
        <v>133</v>
      </c>
      <c r="D44" s="16" t="s">
        <v>35</v>
      </c>
      <c r="E44" s="16" t="s">
        <v>33</v>
      </c>
      <c r="F44" s="16" t="s">
        <v>35</v>
      </c>
      <c r="G44" s="16" t="s">
        <v>34</v>
      </c>
      <c r="H44" s="16" t="s">
        <v>32</v>
      </c>
      <c r="I44" s="16" t="s">
        <v>35</v>
      </c>
      <c r="J44" s="16" t="s">
        <v>32</v>
      </c>
      <c r="K44" s="16" t="s">
        <v>35</v>
      </c>
      <c r="L44" s="16" t="s">
        <v>35</v>
      </c>
      <c r="M44" s="16" t="s">
        <v>34</v>
      </c>
      <c r="N44" s="16" t="s">
        <v>35</v>
      </c>
      <c r="O44" s="16" t="s">
        <v>32</v>
      </c>
      <c r="P44" s="16" t="s">
        <v>35</v>
      </c>
      <c r="Q44" s="16" t="s">
        <v>35</v>
      </c>
      <c r="R44" s="16" t="s">
        <v>32</v>
      </c>
      <c r="S44" s="16" t="s">
        <v>35</v>
      </c>
      <c r="T44" s="16" t="s">
        <v>35</v>
      </c>
      <c r="U44" s="16" t="s">
        <v>32</v>
      </c>
      <c r="V44" s="16" t="s">
        <v>32</v>
      </c>
      <c r="W44" s="16" t="s">
        <v>35</v>
      </c>
      <c r="X44">
        <f t="shared" si="2"/>
        <v>3</v>
      </c>
      <c r="Y44">
        <f t="shared" si="3"/>
        <v>3</v>
      </c>
      <c r="Z44" s="6">
        <v>6.1</v>
      </c>
      <c r="AA44" s="27">
        <f>10*(COUNTIF(Tabla1[[#This Row],[1.1]:[2.6]],"1 P")+0.5*COUNTIF(Tabla1[[#This Row],[1.1]:[2.6]],"0.5 "))/(COUNTIF(Tabla1[[#This Row],[1.1]:[2.6]],"1 P")+COUNTIF(Tabla1[[#This Row],[1.1]:[2.6]],"0 F")+COUNTIF(Tabla1[[#This Row],[1.1]:[2.6]],"0.5 P"))</f>
        <v>6.1111111111111107</v>
      </c>
      <c r="AB44"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7.666666666666667</v>
      </c>
      <c r="AC44" s="6" t="s">
        <v>10</v>
      </c>
      <c r="AD44" s="6" t="str">
        <f>IF(X44&gt;2,"No válido",IF(Y44&lt;3,"AA","A"))</f>
        <v>No válido</v>
      </c>
      <c r="AE44" s="6" t="str">
        <f>IF(X44&gt;3,"No válido",IF(Y44&lt;4,"AA","A"))</f>
        <v>AA</v>
      </c>
    </row>
    <row r="45" spans="1:31" x14ac:dyDescent="0.25">
      <c r="A45" t="s">
        <v>161</v>
      </c>
      <c r="B45" s="6" t="s">
        <v>61</v>
      </c>
      <c r="C45" t="s">
        <v>134</v>
      </c>
      <c r="D45" s="16" t="s">
        <v>32</v>
      </c>
      <c r="E45" s="16" t="s">
        <v>32</v>
      </c>
      <c r="F45" s="16" t="s">
        <v>32</v>
      </c>
      <c r="G45" s="16" t="s">
        <v>34</v>
      </c>
      <c r="H45" s="16" t="s">
        <v>32</v>
      </c>
      <c r="I45" s="16" t="s">
        <v>32</v>
      </c>
      <c r="J45" s="16" t="s">
        <v>32</v>
      </c>
      <c r="K45" s="16" t="s">
        <v>35</v>
      </c>
      <c r="L45" s="16" t="s">
        <v>32</v>
      </c>
      <c r="M45" s="16" t="s">
        <v>35</v>
      </c>
      <c r="N45" s="16" t="s">
        <v>35</v>
      </c>
      <c r="O45" s="16" t="s">
        <v>32</v>
      </c>
      <c r="P45" s="16" t="s">
        <v>35</v>
      </c>
      <c r="Q45" s="16" t="s">
        <v>32</v>
      </c>
      <c r="R45" s="16" t="s">
        <v>32</v>
      </c>
      <c r="S45" s="16" t="s">
        <v>35</v>
      </c>
      <c r="T45" s="16" t="s">
        <v>32</v>
      </c>
      <c r="U45" s="16" t="s">
        <v>35</v>
      </c>
      <c r="V45" s="16" t="s">
        <v>32</v>
      </c>
      <c r="W45" s="16" t="s">
        <v>35</v>
      </c>
      <c r="X45">
        <f t="shared" si="2"/>
        <v>9</v>
      </c>
      <c r="Y45">
        <f t="shared" si="3"/>
        <v>3</v>
      </c>
      <c r="Z45" s="6">
        <v>3.7</v>
      </c>
      <c r="AA45" s="27">
        <f>10*(COUNTIF(Tabla1[[#This Row],[1.1]:[2.6]],"1 P")+0.5*COUNTIF(Tabla1[[#This Row],[1.1]:[2.6]],"0.5 "))/(COUNTIF(Tabla1[[#This Row],[1.1]:[2.6]],"1 P")+COUNTIF(Tabla1[[#This Row],[1.1]:[2.6]],"0 F")+COUNTIF(Tabla1[[#This Row],[1.1]:[2.6]],"0.5 P"))</f>
        <v>3.6842105263157894</v>
      </c>
      <c r="AB45"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4.117647058823529</v>
      </c>
      <c r="AC45" s="6" t="s">
        <v>10</v>
      </c>
      <c r="AD45" s="6" t="str">
        <f>IF(X45&gt;2,"No válido",IF(Y45&lt;3,"AA","A"))</f>
        <v>No válido</v>
      </c>
      <c r="AE45" s="6" t="str">
        <f>IF(X45&gt;3,"No válido",IF(Y45&lt;4,"AA","A"))</f>
        <v>No válido</v>
      </c>
    </row>
    <row r="46" spans="1:31" x14ac:dyDescent="0.25">
      <c r="A46" t="s">
        <v>161</v>
      </c>
      <c r="B46" s="6" t="s">
        <v>62</v>
      </c>
      <c r="C46" s="9" t="s">
        <v>135</v>
      </c>
      <c r="D46" s="16" t="s">
        <v>32</v>
      </c>
      <c r="E46" s="16" t="s">
        <v>32</v>
      </c>
      <c r="F46" s="16" t="s">
        <v>35</v>
      </c>
      <c r="G46" s="16" t="s">
        <v>34</v>
      </c>
      <c r="H46" s="16" t="s">
        <v>32</v>
      </c>
      <c r="I46" s="16" t="s">
        <v>32</v>
      </c>
      <c r="J46" s="16" t="s">
        <v>32</v>
      </c>
      <c r="K46" s="16" t="s">
        <v>35</v>
      </c>
      <c r="L46" s="16" t="s">
        <v>32</v>
      </c>
      <c r="M46" s="16" t="s">
        <v>35</v>
      </c>
      <c r="N46" s="16" t="s">
        <v>32</v>
      </c>
      <c r="O46" s="16" t="s">
        <v>32</v>
      </c>
      <c r="P46" s="16" t="s">
        <v>35</v>
      </c>
      <c r="Q46" s="16" t="s">
        <v>35</v>
      </c>
      <c r="R46" s="16" t="s">
        <v>32</v>
      </c>
      <c r="S46" s="16" t="s">
        <v>35</v>
      </c>
      <c r="T46" s="16" t="s">
        <v>32</v>
      </c>
      <c r="U46" s="16" t="s">
        <v>35</v>
      </c>
      <c r="V46" s="16" t="s">
        <v>32</v>
      </c>
      <c r="W46" s="16" t="s">
        <v>35</v>
      </c>
      <c r="X46">
        <f t="shared" si="2"/>
        <v>8</v>
      </c>
      <c r="Y46">
        <f t="shared" si="3"/>
        <v>3</v>
      </c>
      <c r="Z46" s="6">
        <v>4.2</v>
      </c>
      <c r="AA46" s="27">
        <f>10*(COUNTIF(Tabla1[[#This Row],[1.1]:[2.6]],"1 P")+0.5*COUNTIF(Tabla1[[#This Row],[1.1]:[2.6]],"0.5 "))/(COUNTIF(Tabla1[[#This Row],[1.1]:[2.6]],"1 P")+COUNTIF(Tabla1[[#This Row],[1.1]:[2.6]],"0 F")+COUNTIF(Tabla1[[#This Row],[1.1]:[2.6]],"0.5 P"))</f>
        <v>4.2105263157894735</v>
      </c>
      <c r="AB46"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4.7058823529411766</v>
      </c>
      <c r="AC46" s="6" t="s">
        <v>10</v>
      </c>
      <c r="AD46" s="6" t="str">
        <f>IF(X46&gt;2,"No válido",IF(Y46&lt;3,"AA","A"))</f>
        <v>No válido</v>
      </c>
      <c r="AE46" s="6" t="str">
        <f>IF(X46&gt;3,"No válido",IF(Y46&lt;4,"AA","A"))</f>
        <v>No válido</v>
      </c>
    </row>
    <row r="47" spans="1:31" x14ac:dyDescent="0.25">
      <c r="A47" t="s">
        <v>161</v>
      </c>
      <c r="B47" s="6" t="s">
        <v>63</v>
      </c>
      <c r="C47" t="s">
        <v>136</v>
      </c>
      <c r="D47" s="16" t="s">
        <v>32</v>
      </c>
      <c r="E47" s="16" t="s">
        <v>32</v>
      </c>
      <c r="F47" s="16" t="s">
        <v>32</v>
      </c>
      <c r="G47" s="16" t="s">
        <v>34</v>
      </c>
      <c r="H47" s="16" t="s">
        <v>32</v>
      </c>
      <c r="I47" s="16" t="s">
        <v>32</v>
      </c>
      <c r="J47" s="16" t="s">
        <v>32</v>
      </c>
      <c r="K47" s="16" t="s">
        <v>35</v>
      </c>
      <c r="L47" s="16" t="s">
        <v>32</v>
      </c>
      <c r="M47" s="16" t="s">
        <v>35</v>
      </c>
      <c r="N47" s="16" t="s">
        <v>35</v>
      </c>
      <c r="O47" s="16" t="s">
        <v>32</v>
      </c>
      <c r="P47" s="16" t="s">
        <v>35</v>
      </c>
      <c r="Q47" s="16" t="s">
        <v>35</v>
      </c>
      <c r="R47" s="16" t="s">
        <v>32</v>
      </c>
      <c r="S47" s="16" t="s">
        <v>35</v>
      </c>
      <c r="T47" s="16" t="s">
        <v>35</v>
      </c>
      <c r="U47" s="16" t="s">
        <v>35</v>
      </c>
      <c r="V47" s="16" t="s">
        <v>32</v>
      </c>
      <c r="W47" s="16" t="s">
        <v>35</v>
      </c>
      <c r="X47">
        <f t="shared" si="2"/>
        <v>8</v>
      </c>
      <c r="Y47">
        <f t="shared" si="3"/>
        <v>2</v>
      </c>
      <c r="Z47" s="6">
        <v>4.7</v>
      </c>
      <c r="AA47" s="27">
        <f>10*(COUNTIF(Tabla1[[#This Row],[1.1]:[2.6]],"1 P")+0.5*COUNTIF(Tabla1[[#This Row],[1.1]:[2.6]],"0.5 "))/(COUNTIF(Tabla1[[#This Row],[1.1]:[2.6]],"1 P")+COUNTIF(Tabla1[[#This Row],[1.1]:[2.6]],"0 F")+COUNTIF(Tabla1[[#This Row],[1.1]:[2.6]],"0.5 P"))</f>
        <v>4.7368421052631575</v>
      </c>
      <c r="AB47"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5.2941176470588234</v>
      </c>
      <c r="AC47" s="6" t="s">
        <v>10</v>
      </c>
      <c r="AD47" s="6" t="str">
        <f>IF(X47&gt;2,"No válido",IF(Y47&lt;3,"AA","A"))</f>
        <v>No válido</v>
      </c>
      <c r="AE47" s="6" t="str">
        <f>IF(X47&gt;3,"No válido",IF(Y47&lt;4,"AA","A"))</f>
        <v>No válido</v>
      </c>
    </row>
    <row r="48" spans="1:31" x14ac:dyDescent="0.25">
      <c r="A48" t="s">
        <v>161</v>
      </c>
      <c r="B48" s="6" t="s">
        <v>64</v>
      </c>
      <c r="C48" s="9" t="s">
        <v>137</v>
      </c>
      <c r="D48" s="16" t="s">
        <v>35</v>
      </c>
      <c r="E48" s="16" t="s">
        <v>32</v>
      </c>
      <c r="F48" s="16" t="s">
        <v>35</v>
      </c>
      <c r="G48" s="16" t="s">
        <v>34</v>
      </c>
      <c r="H48" s="16" t="s">
        <v>35</v>
      </c>
      <c r="I48" s="16" t="s">
        <v>35</v>
      </c>
      <c r="J48" s="16" t="s">
        <v>32</v>
      </c>
      <c r="K48" s="16" t="s">
        <v>35</v>
      </c>
      <c r="L48" s="16" t="s">
        <v>34</v>
      </c>
      <c r="M48" s="16" t="s">
        <v>34</v>
      </c>
      <c r="N48" s="16" t="s">
        <v>35</v>
      </c>
      <c r="O48" s="16" t="s">
        <v>32</v>
      </c>
      <c r="P48" s="16" t="s">
        <v>35</v>
      </c>
      <c r="Q48" s="16" t="s">
        <v>32</v>
      </c>
      <c r="R48" s="16" t="s">
        <v>32</v>
      </c>
      <c r="S48" s="16" t="s">
        <v>35</v>
      </c>
      <c r="T48" s="16" t="s">
        <v>35</v>
      </c>
      <c r="U48" s="16" t="s">
        <v>32</v>
      </c>
      <c r="V48" s="16" t="s">
        <v>35</v>
      </c>
      <c r="W48" s="16" t="s">
        <v>35</v>
      </c>
      <c r="X48">
        <f t="shared" si="2"/>
        <v>4</v>
      </c>
      <c r="Y48">
        <f t="shared" si="3"/>
        <v>2</v>
      </c>
      <c r="Z48" s="6">
        <v>6.5</v>
      </c>
      <c r="AA48" s="27">
        <f>10*(COUNTIF(Tabla1[[#This Row],[1.1]:[2.6]],"1 P")+0.5*COUNTIF(Tabla1[[#This Row],[1.1]:[2.6]],"0.5 "))/(COUNTIF(Tabla1[[#This Row],[1.1]:[2.6]],"1 P")+COUNTIF(Tabla1[[#This Row],[1.1]:[2.6]],"0 F")+COUNTIF(Tabla1[[#This Row],[1.1]:[2.6]],"0.5 P"))</f>
        <v>6.4705882352941178</v>
      </c>
      <c r="AB48"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7.333333333333333</v>
      </c>
      <c r="AC48" s="6" t="s">
        <v>10</v>
      </c>
      <c r="AD48" s="6" t="str">
        <f>IF(X48&gt;2,"No válido",IF(Y48&lt;3,"AA","A"))</f>
        <v>No válido</v>
      </c>
      <c r="AE48" s="6" t="str">
        <f>IF(X48&gt;3,"No válido",IF(Y48&lt;4,"AA","A"))</f>
        <v>No válido</v>
      </c>
    </row>
    <row r="49" spans="1:31" x14ac:dyDescent="0.25">
      <c r="A49" t="s">
        <v>161</v>
      </c>
      <c r="B49" s="6" t="s">
        <v>65</v>
      </c>
      <c r="C49" t="s">
        <v>138</v>
      </c>
      <c r="D49" s="16" t="s">
        <v>35</v>
      </c>
      <c r="E49" s="16" t="s">
        <v>32</v>
      </c>
      <c r="F49" s="16" t="s">
        <v>35</v>
      </c>
      <c r="G49" s="16" t="s">
        <v>34</v>
      </c>
      <c r="H49" s="16" t="s">
        <v>32</v>
      </c>
      <c r="I49" s="16" t="s">
        <v>35</v>
      </c>
      <c r="J49" s="16" t="s">
        <v>32</v>
      </c>
      <c r="K49" s="16" t="s">
        <v>35</v>
      </c>
      <c r="L49" s="16" t="s">
        <v>32</v>
      </c>
      <c r="M49" s="16" t="s">
        <v>32</v>
      </c>
      <c r="N49" s="16" t="s">
        <v>32</v>
      </c>
      <c r="O49" s="16" t="s">
        <v>32</v>
      </c>
      <c r="P49" s="16" t="s">
        <v>35</v>
      </c>
      <c r="Q49" s="16" t="s">
        <v>32</v>
      </c>
      <c r="R49" s="16" t="s">
        <v>32</v>
      </c>
      <c r="S49" s="16" t="s">
        <v>35</v>
      </c>
      <c r="T49" s="16" t="s">
        <v>35</v>
      </c>
      <c r="U49" s="16" t="s">
        <v>32</v>
      </c>
      <c r="V49" s="16" t="s">
        <v>32</v>
      </c>
      <c r="W49" s="16" t="s">
        <v>35</v>
      </c>
      <c r="X49">
        <f t="shared" si="2"/>
        <v>8</v>
      </c>
      <c r="Y49">
        <f t="shared" si="3"/>
        <v>3</v>
      </c>
      <c r="Z49" s="6">
        <v>4.2</v>
      </c>
      <c r="AA49" s="27">
        <f>10*(COUNTIF(Tabla1[[#This Row],[1.1]:[2.6]],"1 P")+0.5*COUNTIF(Tabla1[[#This Row],[1.1]:[2.6]],"0.5 "))/(COUNTIF(Tabla1[[#This Row],[1.1]:[2.6]],"1 P")+COUNTIF(Tabla1[[#This Row],[1.1]:[2.6]],"0 F")+COUNTIF(Tabla1[[#This Row],[1.1]:[2.6]],"0.5 P"))</f>
        <v>4.2105263157894735</v>
      </c>
      <c r="AB49"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4.7058823529411766</v>
      </c>
      <c r="AC49" s="6" t="s">
        <v>10</v>
      </c>
      <c r="AD49" s="6" t="str">
        <f>IF(X49&gt;2,"No válido",IF(Y49&lt;3,"AA","A"))</f>
        <v>No válido</v>
      </c>
      <c r="AE49" s="6" t="str">
        <f>IF(X49&gt;3,"No válido",IF(Y49&lt;4,"AA","A"))</f>
        <v>No válido</v>
      </c>
    </row>
    <row r="50" spans="1:31" x14ac:dyDescent="0.25">
      <c r="A50" t="s">
        <v>161</v>
      </c>
      <c r="B50" s="6" t="s">
        <v>66</v>
      </c>
      <c r="C50" s="9" t="s">
        <v>139</v>
      </c>
      <c r="D50" s="16" t="s">
        <v>35</v>
      </c>
      <c r="E50" s="16" t="s">
        <v>32</v>
      </c>
      <c r="F50" s="16" t="s">
        <v>35</v>
      </c>
      <c r="G50" s="16" t="s">
        <v>34</v>
      </c>
      <c r="H50" s="16" t="s">
        <v>32</v>
      </c>
      <c r="I50" s="16" t="s">
        <v>35</v>
      </c>
      <c r="J50" s="16" t="s">
        <v>32</v>
      </c>
      <c r="K50" s="16" t="s">
        <v>35</v>
      </c>
      <c r="L50" s="16" t="s">
        <v>34</v>
      </c>
      <c r="M50" s="16" t="s">
        <v>34</v>
      </c>
      <c r="N50" s="16" t="s">
        <v>35</v>
      </c>
      <c r="O50" s="16" t="s">
        <v>35</v>
      </c>
      <c r="P50" s="16" t="s">
        <v>35</v>
      </c>
      <c r="Q50" s="16" t="s">
        <v>32</v>
      </c>
      <c r="R50" s="16" t="s">
        <v>32</v>
      </c>
      <c r="S50" s="16" t="s">
        <v>35</v>
      </c>
      <c r="T50" s="16" t="s">
        <v>35</v>
      </c>
      <c r="U50" s="16" t="s">
        <v>32</v>
      </c>
      <c r="V50" s="16" t="s">
        <v>35</v>
      </c>
      <c r="W50" s="16" t="s">
        <v>35</v>
      </c>
      <c r="X50">
        <f t="shared" si="2"/>
        <v>4</v>
      </c>
      <c r="Y50">
        <f t="shared" si="3"/>
        <v>2</v>
      </c>
      <c r="Z50" s="6">
        <v>6.5</v>
      </c>
      <c r="AA50" s="27">
        <f>10*(COUNTIF(Tabla1[[#This Row],[1.1]:[2.6]],"1 P")+0.5*COUNTIF(Tabla1[[#This Row],[1.1]:[2.6]],"0.5 "))/(COUNTIF(Tabla1[[#This Row],[1.1]:[2.6]],"1 P")+COUNTIF(Tabla1[[#This Row],[1.1]:[2.6]],"0 F")+COUNTIF(Tabla1[[#This Row],[1.1]:[2.6]],"0.5 P"))</f>
        <v>6.4705882352941178</v>
      </c>
      <c r="AB50"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7.333333333333333</v>
      </c>
      <c r="AC50" s="6" t="s">
        <v>10</v>
      </c>
      <c r="AD50" s="6" t="str">
        <f>IF(X50&gt;2,"No válido",IF(Y50&lt;3,"AA","A"))</f>
        <v>No válido</v>
      </c>
      <c r="AE50" s="6" t="str">
        <f>IF(X50&gt;3,"No válido",IF(Y50&lt;4,"AA","A"))</f>
        <v>No válido</v>
      </c>
    </row>
    <row r="51" spans="1:31" x14ac:dyDescent="0.25">
      <c r="A51" t="s">
        <v>161</v>
      </c>
      <c r="B51" s="6" t="s">
        <v>67</v>
      </c>
      <c r="C51" t="s">
        <v>141</v>
      </c>
      <c r="D51" s="16" t="s">
        <v>32</v>
      </c>
      <c r="E51" s="16" t="s">
        <v>32</v>
      </c>
      <c r="F51" s="16" t="s">
        <v>35</v>
      </c>
      <c r="G51" s="16" t="s">
        <v>34</v>
      </c>
      <c r="H51" s="16" t="s">
        <v>32</v>
      </c>
      <c r="I51" s="16" t="s">
        <v>32</v>
      </c>
      <c r="J51" s="16" t="s">
        <v>32</v>
      </c>
      <c r="K51" s="16" t="s">
        <v>35</v>
      </c>
      <c r="L51" s="16" t="s">
        <v>32</v>
      </c>
      <c r="M51" s="16" t="s">
        <v>35</v>
      </c>
      <c r="N51" s="16" t="s">
        <v>35</v>
      </c>
      <c r="O51" s="16" t="s">
        <v>32</v>
      </c>
      <c r="P51" s="16" t="s">
        <v>35</v>
      </c>
      <c r="Q51" s="16" t="s">
        <v>32</v>
      </c>
      <c r="R51" s="16" t="s">
        <v>32</v>
      </c>
      <c r="S51" s="16" t="s">
        <v>35</v>
      </c>
      <c r="T51" s="16" t="s">
        <v>35</v>
      </c>
      <c r="U51" s="16" t="s">
        <v>35</v>
      </c>
      <c r="V51" s="16" t="s">
        <v>35</v>
      </c>
      <c r="W51" s="16" t="s">
        <v>35</v>
      </c>
      <c r="X51">
        <f t="shared" si="2"/>
        <v>8</v>
      </c>
      <c r="Y51">
        <f t="shared" si="3"/>
        <v>1</v>
      </c>
      <c r="Z51" s="6">
        <v>5.3</v>
      </c>
      <c r="AA51" s="27">
        <f>10*(COUNTIF(Tabla1[[#This Row],[1.1]:[2.6]],"1 P")+0.5*COUNTIF(Tabla1[[#This Row],[1.1]:[2.6]],"0.5 "))/(COUNTIF(Tabla1[[#This Row],[1.1]:[2.6]],"1 P")+COUNTIF(Tabla1[[#This Row],[1.1]:[2.6]],"0 F")+COUNTIF(Tabla1[[#This Row],[1.1]:[2.6]],"0.5 P"))</f>
        <v>5.2631578947368425</v>
      </c>
      <c r="AB51"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5.882352941176471</v>
      </c>
      <c r="AC51" s="6" t="s">
        <v>10</v>
      </c>
      <c r="AD51" s="6" t="str">
        <f>IF(X51&gt;2,"No válido",IF(Y51&lt;3,"AA","A"))</f>
        <v>No válido</v>
      </c>
      <c r="AE51" s="6" t="str">
        <f>IF(X51&gt;3,"No válido",IF(Y51&lt;4,"AA","A"))</f>
        <v>No válido</v>
      </c>
    </row>
    <row r="52" spans="1:31" x14ac:dyDescent="0.25">
      <c r="A52" t="s">
        <v>161</v>
      </c>
      <c r="B52" s="6" t="s">
        <v>68</v>
      </c>
      <c r="C52" s="9" t="s">
        <v>163</v>
      </c>
      <c r="D52" s="16" t="s">
        <v>32</v>
      </c>
      <c r="E52" s="16" t="s">
        <v>32</v>
      </c>
      <c r="F52" s="16" t="s">
        <v>35</v>
      </c>
      <c r="G52" s="16" t="s">
        <v>34</v>
      </c>
      <c r="H52" s="16" t="s">
        <v>32</v>
      </c>
      <c r="I52" s="16" t="s">
        <v>35</v>
      </c>
      <c r="J52" s="16" t="s">
        <v>32</v>
      </c>
      <c r="K52" s="16" t="s">
        <v>35</v>
      </c>
      <c r="L52" s="16" t="s">
        <v>32</v>
      </c>
      <c r="M52" s="16" t="s">
        <v>35</v>
      </c>
      <c r="N52" s="16" t="s">
        <v>35</v>
      </c>
      <c r="O52" s="16" t="s">
        <v>32</v>
      </c>
      <c r="P52" s="16" t="s">
        <v>35</v>
      </c>
      <c r="Q52" s="16" t="s">
        <v>32</v>
      </c>
      <c r="R52" s="16" t="s">
        <v>32</v>
      </c>
      <c r="S52" s="16" t="s">
        <v>35</v>
      </c>
      <c r="T52" s="16" t="s">
        <v>35</v>
      </c>
      <c r="U52" s="16" t="s">
        <v>35</v>
      </c>
      <c r="V52" s="16" t="s">
        <v>32</v>
      </c>
      <c r="W52" s="16" t="s">
        <v>32</v>
      </c>
      <c r="X52">
        <f t="shared" si="2"/>
        <v>7</v>
      </c>
      <c r="Y52">
        <f t="shared" si="3"/>
        <v>3</v>
      </c>
      <c r="Z52" s="6">
        <v>4.7</v>
      </c>
      <c r="AA52" s="27">
        <f>10*(COUNTIF(Tabla1[[#This Row],[1.1]:[2.6]],"1 P")+0.5*COUNTIF(Tabla1[[#This Row],[1.1]:[2.6]],"0.5 "))/(COUNTIF(Tabla1[[#This Row],[1.1]:[2.6]],"1 P")+COUNTIF(Tabla1[[#This Row],[1.1]:[2.6]],"0 F")+COUNTIF(Tabla1[[#This Row],[1.1]:[2.6]],"0.5 P"))</f>
        <v>4.7368421052631575</v>
      </c>
      <c r="AB52"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5.2941176470588234</v>
      </c>
      <c r="AC52" s="6" t="s">
        <v>10</v>
      </c>
      <c r="AD52" s="6" t="str">
        <f>IF(X52&gt;2,"No válido",IF(Y52&lt;3,"AA","A"))</f>
        <v>No válido</v>
      </c>
      <c r="AE52" s="6" t="str">
        <f>IF(X52&gt;3,"No válido",IF(Y52&lt;4,"AA","A"))</f>
        <v>No válido</v>
      </c>
    </row>
    <row r="53" spans="1:31" x14ac:dyDescent="0.25">
      <c r="A53" t="s">
        <v>161</v>
      </c>
      <c r="B53" s="6" t="s">
        <v>69</v>
      </c>
      <c r="C53" t="s">
        <v>143</v>
      </c>
      <c r="D53" s="16" t="s">
        <v>35</v>
      </c>
      <c r="E53" s="16" t="s">
        <v>32</v>
      </c>
      <c r="F53" s="16" t="s">
        <v>32</v>
      </c>
      <c r="G53" s="16" t="s">
        <v>34</v>
      </c>
      <c r="H53" s="16" t="s">
        <v>32</v>
      </c>
      <c r="I53" s="16" t="s">
        <v>32</v>
      </c>
      <c r="J53" s="16" t="s">
        <v>32</v>
      </c>
      <c r="K53" s="16" t="s">
        <v>35</v>
      </c>
      <c r="L53" s="16" t="s">
        <v>32</v>
      </c>
      <c r="M53" s="16" t="s">
        <v>35</v>
      </c>
      <c r="N53" s="16" t="s">
        <v>35</v>
      </c>
      <c r="O53" s="16" t="s">
        <v>32</v>
      </c>
      <c r="P53" s="16" t="s">
        <v>35</v>
      </c>
      <c r="Q53" s="16" t="s">
        <v>35</v>
      </c>
      <c r="R53" s="16" t="s">
        <v>32</v>
      </c>
      <c r="S53" s="16" t="s">
        <v>35</v>
      </c>
      <c r="T53" s="16" t="s">
        <v>35</v>
      </c>
      <c r="U53" s="16" t="s">
        <v>35</v>
      </c>
      <c r="V53" s="16" t="s">
        <v>32</v>
      </c>
      <c r="W53" s="16" t="s">
        <v>35</v>
      </c>
      <c r="X53">
        <f t="shared" si="2"/>
        <v>7</v>
      </c>
      <c r="Y53">
        <f t="shared" si="3"/>
        <v>2</v>
      </c>
      <c r="Z53" s="6">
        <v>5.3</v>
      </c>
      <c r="AA53" s="27">
        <f>10*(COUNTIF(Tabla1[[#This Row],[1.1]:[2.6]],"1 P")+0.5*COUNTIF(Tabla1[[#This Row],[1.1]:[2.6]],"0.5 "))/(COUNTIF(Tabla1[[#This Row],[1.1]:[2.6]],"1 P")+COUNTIF(Tabla1[[#This Row],[1.1]:[2.6]],"0 F")+COUNTIF(Tabla1[[#This Row],[1.1]:[2.6]],"0.5 P"))</f>
        <v>5.2631578947368425</v>
      </c>
      <c r="AB53"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5.882352941176471</v>
      </c>
      <c r="AC53" s="6" t="s">
        <v>10</v>
      </c>
      <c r="AD53" s="6" t="str">
        <f>IF(X53&gt;2,"No válido",IF(Y53&lt;3,"AA","A"))</f>
        <v>No válido</v>
      </c>
      <c r="AE53" s="6" t="str">
        <f>IF(X53&gt;3,"No válido",IF(Y53&lt;4,"AA","A"))</f>
        <v>No válido</v>
      </c>
    </row>
    <row r="54" spans="1:31" x14ac:dyDescent="0.25">
      <c r="A54" t="s">
        <v>161</v>
      </c>
      <c r="B54" s="6" t="s">
        <v>70</v>
      </c>
      <c r="C54" s="9" t="s">
        <v>144</v>
      </c>
      <c r="D54" s="16" t="s">
        <v>32</v>
      </c>
      <c r="E54" s="16" t="s">
        <v>32</v>
      </c>
      <c r="F54" s="16" t="s">
        <v>32</v>
      </c>
      <c r="G54" s="16" t="s">
        <v>34</v>
      </c>
      <c r="H54" s="16" t="s">
        <v>32</v>
      </c>
      <c r="I54" s="16" t="s">
        <v>32</v>
      </c>
      <c r="J54" s="16" t="s">
        <v>32</v>
      </c>
      <c r="K54" s="16" t="s">
        <v>35</v>
      </c>
      <c r="L54" s="16" t="s">
        <v>32</v>
      </c>
      <c r="M54" s="16" t="s">
        <v>32</v>
      </c>
      <c r="N54" s="16" t="s">
        <v>35</v>
      </c>
      <c r="O54" s="16" t="s">
        <v>32</v>
      </c>
      <c r="P54" s="16" t="s">
        <v>35</v>
      </c>
      <c r="Q54" s="16" t="s">
        <v>32</v>
      </c>
      <c r="R54" s="16" t="s">
        <v>32</v>
      </c>
      <c r="S54" s="16" t="s">
        <v>32</v>
      </c>
      <c r="T54" s="16" t="s">
        <v>35</v>
      </c>
      <c r="U54" s="16" t="s">
        <v>35</v>
      </c>
      <c r="V54" s="16" t="s">
        <v>32</v>
      </c>
      <c r="W54" s="16" t="s">
        <v>35</v>
      </c>
      <c r="X54">
        <f t="shared" si="2"/>
        <v>10</v>
      </c>
      <c r="Y54">
        <f t="shared" si="3"/>
        <v>3</v>
      </c>
      <c r="Z54" s="6">
        <v>3.2</v>
      </c>
      <c r="AA54" s="27">
        <f>10*(COUNTIF(Tabla1[[#This Row],[1.1]:[2.6]],"1 P")+0.5*COUNTIF(Tabla1[[#This Row],[1.1]:[2.6]],"0.5 "))/(COUNTIF(Tabla1[[#This Row],[1.1]:[2.6]],"1 P")+COUNTIF(Tabla1[[#This Row],[1.1]:[2.6]],"0 F")+COUNTIF(Tabla1[[#This Row],[1.1]:[2.6]],"0.5 P"))</f>
        <v>3.1578947368421053</v>
      </c>
      <c r="AB54"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3.5294117647058822</v>
      </c>
      <c r="AC54" s="6" t="s">
        <v>10</v>
      </c>
      <c r="AD54" s="6" t="str">
        <f>IF(X54&gt;2,"No válido",IF(Y54&lt;3,"AA","A"))</f>
        <v>No válido</v>
      </c>
      <c r="AE54" s="6" t="str">
        <f>IF(X54&gt;3,"No válido",IF(Y54&lt;4,"AA","A"))</f>
        <v>No válido</v>
      </c>
    </row>
    <row r="55" spans="1:31" x14ac:dyDescent="0.25">
      <c r="A55" t="s">
        <v>161</v>
      </c>
      <c r="B55" s="6" t="s">
        <v>71</v>
      </c>
      <c r="C55" t="s">
        <v>145</v>
      </c>
      <c r="D55" s="16" t="s">
        <v>35</v>
      </c>
      <c r="E55" s="16" t="s">
        <v>32</v>
      </c>
      <c r="F55" s="16" t="s">
        <v>32</v>
      </c>
      <c r="G55" s="16" t="s">
        <v>34</v>
      </c>
      <c r="H55" s="16" t="s">
        <v>35</v>
      </c>
      <c r="I55" s="16" t="s">
        <v>32</v>
      </c>
      <c r="J55" s="16" t="s">
        <v>32</v>
      </c>
      <c r="K55" s="16" t="s">
        <v>35</v>
      </c>
      <c r="L55" s="16" t="s">
        <v>35</v>
      </c>
      <c r="M55" s="16" t="s">
        <v>35</v>
      </c>
      <c r="N55" s="16" t="s">
        <v>35</v>
      </c>
      <c r="O55" s="16" t="s">
        <v>32</v>
      </c>
      <c r="P55" s="16" t="s">
        <v>35</v>
      </c>
      <c r="Q55" s="16" t="s">
        <v>32</v>
      </c>
      <c r="R55" s="16" t="s">
        <v>32</v>
      </c>
      <c r="S55" s="16" t="s">
        <v>35</v>
      </c>
      <c r="T55" s="16" t="s">
        <v>35</v>
      </c>
      <c r="U55" s="16" t="s">
        <v>32</v>
      </c>
      <c r="V55" s="16" t="s">
        <v>32</v>
      </c>
      <c r="W55" s="16" t="s">
        <v>35</v>
      </c>
      <c r="X55">
        <f t="shared" si="2"/>
        <v>6</v>
      </c>
      <c r="Y55">
        <f t="shared" si="3"/>
        <v>3</v>
      </c>
      <c r="Z55" s="6">
        <v>5.3</v>
      </c>
      <c r="AA55" s="27">
        <f>10*(COUNTIF(Tabla1[[#This Row],[1.1]:[2.6]],"1 P")+0.5*COUNTIF(Tabla1[[#This Row],[1.1]:[2.6]],"0.5 "))/(COUNTIF(Tabla1[[#This Row],[1.1]:[2.6]],"1 P")+COUNTIF(Tabla1[[#This Row],[1.1]:[2.6]],"0 F")+COUNTIF(Tabla1[[#This Row],[1.1]:[2.6]],"0.5 P"))</f>
        <v>5.2631578947368425</v>
      </c>
      <c r="AB55"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5.882352941176471</v>
      </c>
      <c r="AC55" s="6" t="s">
        <v>10</v>
      </c>
      <c r="AD55" s="6" t="str">
        <f>IF(X55&gt;2,"No válido",IF(Y55&lt;3,"AA","A"))</f>
        <v>No válido</v>
      </c>
      <c r="AE55" s="6" t="str">
        <f>IF(X55&gt;3,"No válido",IF(Y55&lt;4,"AA","A"))</f>
        <v>No válido</v>
      </c>
    </row>
    <row r="56" spans="1:31" x14ac:dyDescent="0.25">
      <c r="A56" t="s">
        <v>161</v>
      </c>
      <c r="B56" s="6" t="s">
        <v>72</v>
      </c>
      <c r="C56" s="9" t="s">
        <v>146</v>
      </c>
      <c r="D56" s="16" t="s">
        <v>35</v>
      </c>
      <c r="E56" s="16" t="s">
        <v>32</v>
      </c>
      <c r="F56" s="16" t="s">
        <v>35</v>
      </c>
      <c r="G56" s="16" t="s">
        <v>34</v>
      </c>
      <c r="H56" s="16" t="s">
        <v>35</v>
      </c>
      <c r="I56" s="16" t="s">
        <v>35</v>
      </c>
      <c r="J56" s="16" t="s">
        <v>32</v>
      </c>
      <c r="K56" s="16" t="s">
        <v>35</v>
      </c>
      <c r="L56" s="16" t="s">
        <v>34</v>
      </c>
      <c r="M56" s="16" t="s">
        <v>34</v>
      </c>
      <c r="N56" s="16" t="s">
        <v>35</v>
      </c>
      <c r="O56" s="16" t="s">
        <v>32</v>
      </c>
      <c r="P56" s="16" t="s">
        <v>35</v>
      </c>
      <c r="Q56" s="16" t="s">
        <v>32</v>
      </c>
      <c r="R56" s="16" t="s">
        <v>32</v>
      </c>
      <c r="S56" s="16" t="s">
        <v>35</v>
      </c>
      <c r="T56" s="16" t="s">
        <v>35</v>
      </c>
      <c r="U56" s="16" t="s">
        <v>32</v>
      </c>
      <c r="V56" s="16" t="s">
        <v>32</v>
      </c>
      <c r="W56" s="16" t="s">
        <v>35</v>
      </c>
      <c r="X56">
        <f t="shared" si="2"/>
        <v>4</v>
      </c>
      <c r="Y56">
        <f t="shared" si="3"/>
        <v>3</v>
      </c>
      <c r="Z56" s="6">
        <v>5.9</v>
      </c>
      <c r="AA56" s="27">
        <f>10*(COUNTIF(Tabla1[[#This Row],[1.1]:[2.6]],"1 P")+0.5*COUNTIF(Tabla1[[#This Row],[1.1]:[2.6]],"0.5 "))/(COUNTIF(Tabla1[[#This Row],[1.1]:[2.6]],"1 P")+COUNTIF(Tabla1[[#This Row],[1.1]:[2.6]],"0 F")+COUNTIF(Tabla1[[#This Row],[1.1]:[2.6]],"0.5 P"))</f>
        <v>5.882352941176471</v>
      </c>
      <c r="AB56"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6.666666666666667</v>
      </c>
      <c r="AC56" s="6" t="s">
        <v>10</v>
      </c>
      <c r="AD56" s="6" t="str">
        <f>IF(X56&gt;2,"No válido",IF(Y56&lt;3,"AA","A"))</f>
        <v>No válido</v>
      </c>
      <c r="AE56" s="6" t="str">
        <f>IF(X56&gt;3,"No válido",IF(Y56&lt;4,"AA","A"))</f>
        <v>No válido</v>
      </c>
    </row>
    <row r="57" spans="1:31" x14ac:dyDescent="0.25">
      <c r="A57" t="s">
        <v>161</v>
      </c>
      <c r="B57" s="6" t="s">
        <v>73</v>
      </c>
      <c r="C57" t="s">
        <v>148</v>
      </c>
      <c r="D57" s="16" t="s">
        <v>32</v>
      </c>
      <c r="E57" s="16" t="s">
        <v>32</v>
      </c>
      <c r="F57" s="16" t="s">
        <v>32</v>
      </c>
      <c r="G57" s="16" t="s">
        <v>34</v>
      </c>
      <c r="H57" s="16" t="s">
        <v>32</v>
      </c>
      <c r="I57" s="16" t="s">
        <v>35</v>
      </c>
      <c r="J57" s="16" t="s">
        <v>32</v>
      </c>
      <c r="K57" s="16" t="s">
        <v>35</v>
      </c>
      <c r="L57" s="16" t="s">
        <v>32</v>
      </c>
      <c r="M57" s="16" t="s">
        <v>35</v>
      </c>
      <c r="N57" s="16" t="s">
        <v>32</v>
      </c>
      <c r="O57" s="16" t="s">
        <v>32</v>
      </c>
      <c r="P57" s="16" t="s">
        <v>35</v>
      </c>
      <c r="Q57" s="16" t="s">
        <v>32</v>
      </c>
      <c r="R57" s="16" t="s">
        <v>32</v>
      </c>
      <c r="S57" s="16" t="s">
        <v>32</v>
      </c>
      <c r="T57" s="16" t="s">
        <v>35</v>
      </c>
      <c r="U57" s="16" t="s">
        <v>32</v>
      </c>
      <c r="V57" s="16" t="s">
        <v>32</v>
      </c>
      <c r="W57" s="16" t="s">
        <v>32</v>
      </c>
      <c r="X57">
        <f t="shared" si="2"/>
        <v>9</v>
      </c>
      <c r="Y57">
        <f t="shared" si="3"/>
        <v>5</v>
      </c>
      <c r="Z57" s="6">
        <v>2.6</v>
      </c>
      <c r="AA57" s="27">
        <f>10*(COUNTIF(Tabla1[[#This Row],[1.1]:[2.6]],"1 P")+0.5*COUNTIF(Tabla1[[#This Row],[1.1]:[2.6]],"0.5 "))/(COUNTIF(Tabla1[[#This Row],[1.1]:[2.6]],"1 P")+COUNTIF(Tabla1[[#This Row],[1.1]:[2.6]],"0 F")+COUNTIF(Tabla1[[#This Row],[1.1]:[2.6]],"0.5 P"))</f>
        <v>2.6315789473684212</v>
      </c>
      <c r="AB57"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2.9411764705882355</v>
      </c>
      <c r="AC57" s="6" t="s">
        <v>10</v>
      </c>
      <c r="AD57" s="6" t="str">
        <f>IF(X57&gt;2,"No válido",IF(Y57&lt;3,"AA","A"))</f>
        <v>No válido</v>
      </c>
      <c r="AE57" s="6" t="str">
        <f>IF(X57&gt;3,"No válido",IF(Y57&lt;4,"AA","A"))</f>
        <v>No válido</v>
      </c>
    </row>
    <row r="58" spans="1:31" x14ac:dyDescent="0.25">
      <c r="A58" t="s">
        <v>161</v>
      </c>
      <c r="B58" s="6" t="s">
        <v>74</v>
      </c>
      <c r="C58" s="9" t="s">
        <v>151</v>
      </c>
      <c r="D58" s="16" t="s">
        <v>35</v>
      </c>
      <c r="E58" s="16" t="s">
        <v>32</v>
      </c>
      <c r="F58" s="16" t="s">
        <v>35</v>
      </c>
      <c r="G58" s="16" t="s">
        <v>34</v>
      </c>
      <c r="H58" s="16" t="s">
        <v>32</v>
      </c>
      <c r="I58" s="16" t="s">
        <v>32</v>
      </c>
      <c r="J58" s="16" t="s">
        <v>32</v>
      </c>
      <c r="K58" s="16" t="s">
        <v>35</v>
      </c>
      <c r="L58" s="16" t="s">
        <v>35</v>
      </c>
      <c r="M58" s="16" t="s">
        <v>35</v>
      </c>
      <c r="N58" s="16" t="s">
        <v>35</v>
      </c>
      <c r="O58" s="16" t="s">
        <v>32</v>
      </c>
      <c r="P58" s="16" t="s">
        <v>35</v>
      </c>
      <c r="Q58" s="16" t="s">
        <v>32</v>
      </c>
      <c r="R58" s="16" t="s">
        <v>32</v>
      </c>
      <c r="S58" s="16" t="s">
        <v>32</v>
      </c>
      <c r="T58" s="16" t="s">
        <v>32</v>
      </c>
      <c r="U58" s="16" t="s">
        <v>32</v>
      </c>
      <c r="V58" s="16" t="s">
        <v>35</v>
      </c>
      <c r="W58" s="16" t="s">
        <v>35</v>
      </c>
      <c r="X58">
        <f t="shared" si="2"/>
        <v>6</v>
      </c>
      <c r="Y58">
        <f t="shared" si="3"/>
        <v>4</v>
      </c>
      <c r="Z58" s="6">
        <v>4.7</v>
      </c>
      <c r="AA58" s="27">
        <f>10*(COUNTIF(Tabla1[[#This Row],[1.1]:[2.6]],"1 P")+0.5*COUNTIF(Tabla1[[#This Row],[1.1]:[2.6]],"0.5 "))/(COUNTIF(Tabla1[[#This Row],[1.1]:[2.6]],"1 P")+COUNTIF(Tabla1[[#This Row],[1.1]:[2.6]],"0 F")+COUNTIF(Tabla1[[#This Row],[1.1]:[2.6]],"0.5 P"))</f>
        <v>4.7368421052631575</v>
      </c>
      <c r="AB58"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5.2941176470588234</v>
      </c>
      <c r="AC58" s="6" t="s">
        <v>10</v>
      </c>
      <c r="AD58" s="6" t="str">
        <f>IF(X58&gt;2,"No válido",IF(Y58&lt;3,"AA","A"))</f>
        <v>No válido</v>
      </c>
      <c r="AE58" s="6" t="str">
        <f>IF(X58&gt;3,"No válido",IF(Y58&lt;4,"AA","A"))</f>
        <v>No válido</v>
      </c>
    </row>
    <row r="59" spans="1:31" x14ac:dyDescent="0.25">
      <c r="A59" t="s">
        <v>161</v>
      </c>
      <c r="B59" s="6" t="s">
        <v>75</v>
      </c>
      <c r="C59" t="s">
        <v>152</v>
      </c>
      <c r="D59" s="16" t="s">
        <v>35</v>
      </c>
      <c r="E59" s="16" t="s">
        <v>35</v>
      </c>
      <c r="F59" s="16" t="s">
        <v>35</v>
      </c>
      <c r="G59" s="16" t="s">
        <v>35</v>
      </c>
      <c r="H59" s="16" t="s">
        <v>35</v>
      </c>
      <c r="I59" s="16" t="s">
        <v>35</v>
      </c>
      <c r="J59" s="16" t="s">
        <v>32</v>
      </c>
      <c r="K59" s="16" t="s">
        <v>35</v>
      </c>
      <c r="L59" s="16" t="s">
        <v>35</v>
      </c>
      <c r="M59" s="16" t="s">
        <v>35</v>
      </c>
      <c r="N59" s="16" t="s">
        <v>35</v>
      </c>
      <c r="O59" s="16" t="s">
        <v>32</v>
      </c>
      <c r="P59" s="16" t="s">
        <v>35</v>
      </c>
      <c r="Q59" s="16" t="s">
        <v>35</v>
      </c>
      <c r="R59" s="16" t="s">
        <v>32</v>
      </c>
      <c r="S59" s="16" t="s">
        <v>32</v>
      </c>
      <c r="T59" s="16" t="s">
        <v>35</v>
      </c>
      <c r="U59" s="16" t="s">
        <v>35</v>
      </c>
      <c r="V59" s="16" t="s">
        <v>32</v>
      </c>
      <c r="W59" s="16" t="s">
        <v>35</v>
      </c>
      <c r="X59">
        <f t="shared" si="2"/>
        <v>2</v>
      </c>
      <c r="Y59">
        <f t="shared" si="3"/>
        <v>3</v>
      </c>
      <c r="Z59" s="6">
        <v>7.5</v>
      </c>
      <c r="AA59" s="27">
        <f>10*(COUNTIF(Tabla1[[#This Row],[1.1]:[2.6]],"1 P")+0.5*COUNTIF(Tabla1[[#This Row],[1.1]:[2.6]],"0.5 "))/(COUNTIF(Tabla1[[#This Row],[1.1]:[2.6]],"1 P")+COUNTIF(Tabla1[[#This Row],[1.1]:[2.6]],"0 F")+COUNTIF(Tabla1[[#This Row],[1.1]:[2.6]],"0.5 P"))</f>
        <v>7.5</v>
      </c>
      <c r="AB59"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8.3333333333333339</v>
      </c>
      <c r="AC59" s="6" t="s">
        <v>11</v>
      </c>
      <c r="AD59" s="6" t="str">
        <f>IF(X59&gt;2,"No válido",IF(Y59&lt;3,"AA","A"))</f>
        <v>A</v>
      </c>
      <c r="AE59" s="6" t="str">
        <f>IF(X59&gt;3,"No válido",IF(Y59&lt;4,"AA","A"))</f>
        <v>AA</v>
      </c>
    </row>
    <row r="60" spans="1:31" x14ac:dyDescent="0.25">
      <c r="A60" t="s">
        <v>161</v>
      </c>
      <c r="B60" s="6" t="s">
        <v>76</v>
      </c>
      <c r="C60" s="9" t="s">
        <v>153</v>
      </c>
      <c r="D60" s="16" t="s">
        <v>32</v>
      </c>
      <c r="E60" s="16" t="s">
        <v>32</v>
      </c>
      <c r="F60" s="16" t="s">
        <v>32</v>
      </c>
      <c r="G60" s="16" t="s">
        <v>34</v>
      </c>
      <c r="H60" s="16" t="s">
        <v>35</v>
      </c>
      <c r="I60" s="16" t="s">
        <v>35</v>
      </c>
      <c r="J60" s="16" t="s">
        <v>32</v>
      </c>
      <c r="K60" s="16" t="s">
        <v>35</v>
      </c>
      <c r="L60" s="16" t="s">
        <v>32</v>
      </c>
      <c r="M60" s="16" t="s">
        <v>35</v>
      </c>
      <c r="N60" s="16" t="s">
        <v>35</v>
      </c>
      <c r="O60" s="16" t="s">
        <v>32</v>
      </c>
      <c r="P60" s="16" t="s">
        <v>35</v>
      </c>
      <c r="Q60" s="16" t="s">
        <v>32</v>
      </c>
      <c r="R60" s="16" t="s">
        <v>32</v>
      </c>
      <c r="S60" s="16" t="s">
        <v>35</v>
      </c>
      <c r="T60" s="16" t="s">
        <v>35</v>
      </c>
      <c r="U60" s="16" t="s">
        <v>35</v>
      </c>
      <c r="V60" s="16" t="s">
        <v>35</v>
      </c>
      <c r="W60" s="16" t="s">
        <v>35</v>
      </c>
      <c r="X60">
        <f t="shared" si="2"/>
        <v>7</v>
      </c>
      <c r="Y60">
        <f t="shared" si="3"/>
        <v>1</v>
      </c>
      <c r="Z60" s="6">
        <v>5.8</v>
      </c>
      <c r="AA60" s="27">
        <f>10*(COUNTIF(Tabla1[[#This Row],[1.1]:[2.6]],"1 P")+0.5*COUNTIF(Tabla1[[#This Row],[1.1]:[2.6]],"0.5 "))/(COUNTIF(Tabla1[[#This Row],[1.1]:[2.6]],"1 P")+COUNTIF(Tabla1[[#This Row],[1.1]:[2.6]],"0 F")+COUNTIF(Tabla1[[#This Row],[1.1]:[2.6]],"0.5 P"))</f>
        <v>5.7894736842105265</v>
      </c>
      <c r="AB60"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6.4705882352941178</v>
      </c>
      <c r="AC60" s="6" t="s">
        <v>10</v>
      </c>
      <c r="AD60" s="6" t="str">
        <f>IF(X60&gt;2,"No válido",IF(Y60&lt;3,"AA","A"))</f>
        <v>No válido</v>
      </c>
      <c r="AE60" s="6" t="str">
        <f>IF(X60&gt;3,"No válido",IF(Y60&lt;4,"AA","A"))</f>
        <v>No válido</v>
      </c>
    </row>
    <row r="61" spans="1:31" x14ac:dyDescent="0.25">
      <c r="A61" t="s">
        <v>161</v>
      </c>
      <c r="B61" s="6" t="s">
        <v>77</v>
      </c>
      <c r="C61" t="s">
        <v>154</v>
      </c>
      <c r="D61" s="16" t="s">
        <v>32</v>
      </c>
      <c r="E61" s="16" t="s">
        <v>32</v>
      </c>
      <c r="F61" s="16" t="s">
        <v>32</v>
      </c>
      <c r="G61" s="16" t="s">
        <v>34</v>
      </c>
      <c r="H61" s="16" t="s">
        <v>32</v>
      </c>
      <c r="I61" s="16" t="s">
        <v>32</v>
      </c>
      <c r="J61" s="16" t="s">
        <v>32</v>
      </c>
      <c r="K61" s="16" t="s">
        <v>35</v>
      </c>
      <c r="L61" s="16" t="s">
        <v>35</v>
      </c>
      <c r="M61" s="16" t="s">
        <v>34</v>
      </c>
      <c r="N61" s="16" t="s">
        <v>35</v>
      </c>
      <c r="O61" s="16" t="s">
        <v>32</v>
      </c>
      <c r="P61" s="16" t="s">
        <v>35</v>
      </c>
      <c r="Q61" s="16" t="s">
        <v>32</v>
      </c>
      <c r="R61" s="16" t="s">
        <v>32</v>
      </c>
      <c r="S61" s="16" t="s">
        <v>35</v>
      </c>
      <c r="T61" s="16" t="s">
        <v>35</v>
      </c>
      <c r="U61" s="16" t="s">
        <v>32</v>
      </c>
      <c r="V61" s="16" t="s">
        <v>32</v>
      </c>
      <c r="W61" s="16" t="s">
        <v>35</v>
      </c>
      <c r="X61">
        <f t="shared" si="2"/>
        <v>8</v>
      </c>
      <c r="Y61">
        <f t="shared" si="3"/>
        <v>3</v>
      </c>
      <c r="Z61" s="6">
        <v>3.9</v>
      </c>
      <c r="AA61" s="27">
        <f>10*(COUNTIF(Tabla1[[#This Row],[1.1]:[2.6]],"1 P")+0.5*COUNTIF(Tabla1[[#This Row],[1.1]:[2.6]],"0.5 "))/(COUNTIF(Tabla1[[#This Row],[1.1]:[2.6]],"1 P")+COUNTIF(Tabla1[[#This Row],[1.1]:[2.6]],"0 F")+COUNTIF(Tabla1[[#This Row],[1.1]:[2.6]],"0.5 P"))</f>
        <v>3.8888888888888888</v>
      </c>
      <c r="AB61"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4.375</v>
      </c>
      <c r="AC61" s="6" t="s">
        <v>10</v>
      </c>
      <c r="AD61" s="6" t="str">
        <f>IF(X61&gt;2,"No válido",IF(Y61&lt;3,"AA","A"))</f>
        <v>No válido</v>
      </c>
      <c r="AE61" s="6" t="str">
        <f>IF(X61&gt;3,"No válido",IF(Y61&lt;4,"AA","A"))</f>
        <v>No válido</v>
      </c>
    </row>
    <row r="62" spans="1:31" x14ac:dyDescent="0.25">
      <c r="A62" t="s">
        <v>161</v>
      </c>
      <c r="B62" s="6" t="s">
        <v>78</v>
      </c>
      <c r="C62" s="9" t="s">
        <v>155</v>
      </c>
      <c r="D62" s="16" t="s">
        <v>32</v>
      </c>
      <c r="E62" s="16" t="s">
        <v>32</v>
      </c>
      <c r="F62" s="16" t="s">
        <v>32</v>
      </c>
      <c r="G62" s="16" t="s">
        <v>34</v>
      </c>
      <c r="H62" s="16" t="s">
        <v>32</v>
      </c>
      <c r="I62" s="16" t="s">
        <v>32</v>
      </c>
      <c r="J62" s="16" t="s">
        <v>32</v>
      </c>
      <c r="K62" s="16" t="s">
        <v>35</v>
      </c>
      <c r="L62" s="16" t="s">
        <v>32</v>
      </c>
      <c r="M62" s="16" t="s">
        <v>32</v>
      </c>
      <c r="N62" s="16" t="s">
        <v>32</v>
      </c>
      <c r="O62" s="16" t="s">
        <v>32</v>
      </c>
      <c r="P62" s="16" t="s">
        <v>35</v>
      </c>
      <c r="Q62" s="16" t="s">
        <v>32</v>
      </c>
      <c r="R62" s="16" t="s">
        <v>32</v>
      </c>
      <c r="S62" s="16" t="s">
        <v>35</v>
      </c>
      <c r="T62" s="16" t="s">
        <v>35</v>
      </c>
      <c r="U62" s="16" t="s">
        <v>35</v>
      </c>
      <c r="V62" s="16" t="s">
        <v>32</v>
      </c>
      <c r="W62" s="16" t="s">
        <v>35</v>
      </c>
      <c r="X62">
        <f t="shared" si="2"/>
        <v>11</v>
      </c>
      <c r="Y62">
        <f t="shared" si="3"/>
        <v>2</v>
      </c>
      <c r="Z62" s="6">
        <v>3.2</v>
      </c>
      <c r="AA62" s="27">
        <f>10*(COUNTIF(Tabla1[[#This Row],[1.1]:[2.6]],"1 P")+0.5*COUNTIF(Tabla1[[#This Row],[1.1]:[2.6]],"0.5 "))/(COUNTIF(Tabla1[[#This Row],[1.1]:[2.6]],"1 P")+COUNTIF(Tabla1[[#This Row],[1.1]:[2.6]],"0 F")+COUNTIF(Tabla1[[#This Row],[1.1]:[2.6]],"0.5 P"))</f>
        <v>3.1578947368421053</v>
      </c>
      <c r="AB62"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3.5294117647058822</v>
      </c>
      <c r="AC62" s="6" t="s">
        <v>10</v>
      </c>
      <c r="AD62" s="6" t="str">
        <f>IF(X62&gt;2,"No válido",IF(Y62&lt;3,"AA","A"))</f>
        <v>No válido</v>
      </c>
      <c r="AE62" s="6" t="str">
        <f>IF(X62&gt;3,"No válido",IF(Y62&lt;4,"AA","A"))</f>
        <v>No válido</v>
      </c>
    </row>
    <row r="63" spans="1:31" x14ac:dyDescent="0.25">
      <c r="A63" t="s">
        <v>161</v>
      </c>
      <c r="B63" s="6" t="s">
        <v>79</v>
      </c>
      <c r="C63" t="s">
        <v>156</v>
      </c>
      <c r="D63" s="16" t="s">
        <v>35</v>
      </c>
      <c r="E63" s="16" t="s">
        <v>35</v>
      </c>
      <c r="F63" s="16" t="s">
        <v>32</v>
      </c>
      <c r="G63" s="16" t="s">
        <v>34</v>
      </c>
      <c r="H63" s="16" t="s">
        <v>32</v>
      </c>
      <c r="I63" s="16" t="s">
        <v>32</v>
      </c>
      <c r="J63" s="16" t="s">
        <v>32</v>
      </c>
      <c r="K63" s="16" t="s">
        <v>35</v>
      </c>
      <c r="L63" s="16" t="s">
        <v>34</v>
      </c>
      <c r="M63" s="16" t="s">
        <v>34</v>
      </c>
      <c r="N63" s="16" t="s">
        <v>35</v>
      </c>
      <c r="O63" s="16" t="s">
        <v>32</v>
      </c>
      <c r="P63" s="16" t="s">
        <v>35</v>
      </c>
      <c r="Q63" s="16" t="s">
        <v>35</v>
      </c>
      <c r="R63" s="16" t="s">
        <v>32</v>
      </c>
      <c r="S63" s="16" t="s">
        <v>32</v>
      </c>
      <c r="T63" s="16" t="s">
        <v>32</v>
      </c>
      <c r="U63" s="16" t="s">
        <v>32</v>
      </c>
      <c r="V63" s="16" t="s">
        <v>32</v>
      </c>
      <c r="W63" s="16" t="s">
        <v>35</v>
      </c>
      <c r="X63">
        <f t="shared" si="2"/>
        <v>5</v>
      </c>
      <c r="Y63">
        <f t="shared" si="3"/>
        <v>5</v>
      </c>
      <c r="Z63" s="6">
        <v>4.0999999999999996</v>
      </c>
      <c r="AA63" s="27">
        <f>10*(COUNTIF(Tabla1[[#This Row],[1.1]:[2.6]],"1 P")+0.5*COUNTIF(Tabla1[[#This Row],[1.1]:[2.6]],"0.5 "))/(COUNTIF(Tabla1[[#This Row],[1.1]:[2.6]],"1 P")+COUNTIF(Tabla1[[#This Row],[1.1]:[2.6]],"0 F")+COUNTIF(Tabla1[[#This Row],[1.1]:[2.6]],"0.5 P"))</f>
        <v>4.117647058823529</v>
      </c>
      <c r="AB63"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4.666666666666667</v>
      </c>
      <c r="AC63" s="6" t="s">
        <v>10</v>
      </c>
      <c r="AD63" s="6" t="str">
        <f>IF(X63&gt;2,"No válido",IF(Y63&lt;3,"AA","A"))</f>
        <v>No válido</v>
      </c>
      <c r="AE63" s="6" t="str">
        <f>IF(X63&gt;3,"No válido",IF(Y63&lt;4,"AA","A"))</f>
        <v>No válido</v>
      </c>
    </row>
    <row r="64" spans="1:31" x14ac:dyDescent="0.25">
      <c r="A64" t="s">
        <v>161</v>
      </c>
      <c r="B64" s="6" t="s">
        <v>80</v>
      </c>
      <c r="C64" s="9" t="s">
        <v>157</v>
      </c>
      <c r="D64" s="16" t="s">
        <v>35</v>
      </c>
      <c r="E64" s="16" t="s">
        <v>32</v>
      </c>
      <c r="F64" s="16" t="s">
        <v>35</v>
      </c>
      <c r="G64" s="16" t="s">
        <v>34</v>
      </c>
      <c r="H64" s="16" t="s">
        <v>32</v>
      </c>
      <c r="I64" s="16" t="s">
        <v>32</v>
      </c>
      <c r="J64" s="16" t="s">
        <v>32</v>
      </c>
      <c r="K64" s="16" t="s">
        <v>35</v>
      </c>
      <c r="L64" s="16" t="s">
        <v>35</v>
      </c>
      <c r="M64" s="16" t="s">
        <v>35</v>
      </c>
      <c r="N64" s="16" t="s">
        <v>32</v>
      </c>
      <c r="O64" s="16" t="s">
        <v>32</v>
      </c>
      <c r="P64" s="16" t="s">
        <v>35</v>
      </c>
      <c r="Q64" s="16" t="s">
        <v>32</v>
      </c>
      <c r="R64" s="16" t="s">
        <v>32</v>
      </c>
      <c r="S64" s="16" t="s">
        <v>35</v>
      </c>
      <c r="T64" s="16" t="s">
        <v>35</v>
      </c>
      <c r="U64" s="16" t="s">
        <v>32</v>
      </c>
      <c r="V64" s="16" t="s">
        <v>32</v>
      </c>
      <c r="W64" s="16" t="s">
        <v>35</v>
      </c>
      <c r="X64">
        <f t="shared" si="2"/>
        <v>7</v>
      </c>
      <c r="Y64">
        <f t="shared" si="3"/>
        <v>3</v>
      </c>
      <c r="Z64" s="6">
        <v>4.7</v>
      </c>
      <c r="AA64" s="27">
        <f>10*(COUNTIF(Tabla1[[#This Row],[1.1]:[2.6]],"1 P")+0.5*COUNTIF(Tabla1[[#This Row],[1.1]:[2.6]],"0.5 "))/(COUNTIF(Tabla1[[#This Row],[1.1]:[2.6]],"1 P")+COUNTIF(Tabla1[[#This Row],[1.1]:[2.6]],"0 F")+COUNTIF(Tabla1[[#This Row],[1.1]:[2.6]],"0.5 P"))</f>
        <v>4.7368421052631575</v>
      </c>
      <c r="AB64"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5.2941176470588234</v>
      </c>
      <c r="AC64" s="6" t="s">
        <v>10</v>
      </c>
      <c r="AD64" s="6" t="str">
        <f>IF(X64&gt;2,"No válido",IF(Y64&lt;3,"AA","A"))</f>
        <v>No válido</v>
      </c>
      <c r="AE64" s="6" t="str">
        <f>IF(X64&gt;3,"No válido",IF(Y64&lt;4,"AA","A"))</f>
        <v>No válido</v>
      </c>
    </row>
    <row r="65" spans="1:31" x14ac:dyDescent="0.25">
      <c r="A65" t="s">
        <v>164</v>
      </c>
      <c r="B65" s="6" t="s">
        <v>49</v>
      </c>
      <c r="C65" s="9" t="s">
        <v>98</v>
      </c>
      <c r="D65" s="16" t="s">
        <v>35</v>
      </c>
      <c r="E65" s="16" t="s">
        <v>32</v>
      </c>
      <c r="F65" s="16" t="s">
        <v>35</v>
      </c>
      <c r="G65" s="16" t="s">
        <v>34</v>
      </c>
      <c r="H65" s="16" t="s">
        <v>35</v>
      </c>
      <c r="I65" s="16" t="s">
        <v>32</v>
      </c>
      <c r="J65" s="16" t="s">
        <v>32</v>
      </c>
      <c r="K65" s="16" t="s">
        <v>35</v>
      </c>
      <c r="L65" s="16" t="s">
        <v>35</v>
      </c>
      <c r="M65" s="16" t="s">
        <v>34</v>
      </c>
      <c r="N65" s="16" t="s">
        <v>32</v>
      </c>
      <c r="O65" s="16" t="s">
        <v>32</v>
      </c>
      <c r="P65" s="16" t="s">
        <v>35</v>
      </c>
      <c r="Q65" s="16" t="s">
        <v>32</v>
      </c>
      <c r="R65" s="16" t="s">
        <v>32</v>
      </c>
      <c r="S65" s="16" t="s">
        <v>32</v>
      </c>
      <c r="T65" s="16" t="s">
        <v>35</v>
      </c>
      <c r="U65" s="16" t="s">
        <v>32</v>
      </c>
      <c r="V65" s="16" t="s">
        <v>32</v>
      </c>
      <c r="W65" s="16" t="s">
        <v>35</v>
      </c>
      <c r="X65">
        <f t="shared" si="2"/>
        <v>6</v>
      </c>
      <c r="Y65">
        <f t="shared" si="3"/>
        <v>4</v>
      </c>
      <c r="Z65" s="6">
        <v>4.4000000000000004</v>
      </c>
      <c r="AA65" s="27">
        <f>10*(COUNTIF(Tabla1[[#This Row],[1.1]:[2.6]],"1 P")+0.5*COUNTIF(Tabla1[[#This Row],[1.1]:[2.6]],"0.5 "))/(COUNTIF(Tabla1[[#This Row],[1.1]:[2.6]],"1 P")+COUNTIF(Tabla1[[#This Row],[1.1]:[2.6]],"0 F")+COUNTIF(Tabla1[[#This Row],[1.1]:[2.6]],"0.5 P"))</f>
        <v>4.4444444444444446</v>
      </c>
      <c r="AB65" s="27">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v>
      </c>
      <c r="AC65" s="6" t="s">
        <v>10</v>
      </c>
      <c r="AD65" s="6" t="str">
        <f>IF(X65&gt;2,"No válido",IF(Y65&lt;3,"AA","A"))</f>
        <v>No válido</v>
      </c>
      <c r="AE65" s="6" t="str">
        <f>IF(X65&gt;3,"No válido",IF(Y65&lt;4,"AA","A"))</f>
        <v>No válido</v>
      </c>
    </row>
    <row r="66" spans="1:31" x14ac:dyDescent="0.25">
      <c r="C66" s="2" t="s">
        <v>42</v>
      </c>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row>
    <row r="67" spans="1:31" x14ac:dyDescent="0.25">
      <c r="C67" s="17" t="s">
        <v>35</v>
      </c>
      <c r="D67" s="6">
        <f t="shared" ref="D67:M70" si="4">COUNTIF(D$2:D$65,$C67)</f>
        <v>32</v>
      </c>
      <c r="E67" s="6">
        <f t="shared" si="4"/>
        <v>6</v>
      </c>
      <c r="F67" s="6">
        <f t="shared" si="4"/>
        <v>42</v>
      </c>
      <c r="G67" s="6">
        <f t="shared" si="4"/>
        <v>4</v>
      </c>
      <c r="H67" s="6">
        <f t="shared" si="4"/>
        <v>18</v>
      </c>
      <c r="I67" s="6">
        <f t="shared" si="4"/>
        <v>23</v>
      </c>
      <c r="J67" s="6">
        <f t="shared" si="4"/>
        <v>0</v>
      </c>
      <c r="K67" s="6">
        <f t="shared" si="4"/>
        <v>56</v>
      </c>
      <c r="L67" s="6">
        <f t="shared" si="4"/>
        <v>23</v>
      </c>
      <c r="M67" s="6">
        <f t="shared" si="4"/>
        <v>36</v>
      </c>
      <c r="N67" s="6">
        <f t="shared" ref="N67:W70" si="5">COUNTIF(N$2:N$65,$C67)</f>
        <v>47</v>
      </c>
      <c r="O67" s="6">
        <f t="shared" si="5"/>
        <v>8</v>
      </c>
      <c r="P67" s="6">
        <f t="shared" si="5"/>
        <v>64</v>
      </c>
      <c r="Q67" s="6">
        <f t="shared" si="5"/>
        <v>17</v>
      </c>
      <c r="R67" s="6">
        <f t="shared" si="5"/>
        <v>2</v>
      </c>
      <c r="S67" s="6">
        <f t="shared" si="5"/>
        <v>39</v>
      </c>
      <c r="T67" s="6">
        <f t="shared" si="5"/>
        <v>49</v>
      </c>
      <c r="U67" s="6">
        <f t="shared" si="5"/>
        <v>23</v>
      </c>
      <c r="V67" s="6">
        <f t="shared" si="5"/>
        <v>20</v>
      </c>
      <c r="W67" s="6">
        <f t="shared" si="5"/>
        <v>56</v>
      </c>
      <c r="Z67" s="30" t="s">
        <v>12</v>
      </c>
      <c r="AA67" s="29">
        <f>AVERAGE(Tabla1[Check Puntuación Media original])</f>
        <v>4.768059855521158</v>
      </c>
      <c r="AB67" s="29">
        <f>AVERAGE(Tabla1[Puntuación Media sin 1.7 y 2.1])</f>
        <v>5.3491370506535949</v>
      </c>
      <c r="AC67" s="30" t="s">
        <v>171</v>
      </c>
      <c r="AD67" s="32">
        <f>COUNTIF(Tabla1[Check Nivel ad. Original],"AA")</f>
        <v>2</v>
      </c>
      <c r="AE67" s="32">
        <f>COUNTIF(Tabla1[Nivel de adecuación estimado sin 1.7 y 2.1],"AA")</f>
        <v>5</v>
      </c>
    </row>
    <row r="68" spans="1:31" x14ac:dyDescent="0.25">
      <c r="C68" s="17" t="s">
        <v>34</v>
      </c>
      <c r="D68" s="6">
        <f t="shared" si="4"/>
        <v>0</v>
      </c>
      <c r="E68" s="6">
        <f t="shared" si="4"/>
        <v>0</v>
      </c>
      <c r="F68" s="6">
        <f t="shared" si="4"/>
        <v>0</v>
      </c>
      <c r="G68" s="6">
        <f t="shared" si="4"/>
        <v>59</v>
      </c>
      <c r="H68" s="6">
        <f t="shared" si="4"/>
        <v>0</v>
      </c>
      <c r="I68" s="6">
        <f t="shared" si="4"/>
        <v>0</v>
      </c>
      <c r="J68" s="6">
        <f t="shared" si="4"/>
        <v>0</v>
      </c>
      <c r="K68" s="6">
        <f t="shared" si="4"/>
        <v>0</v>
      </c>
      <c r="L68" s="6">
        <f t="shared" si="4"/>
        <v>9</v>
      </c>
      <c r="M68" s="6">
        <f t="shared" si="4"/>
        <v>23</v>
      </c>
      <c r="N68" s="6">
        <f t="shared" si="5"/>
        <v>0</v>
      </c>
      <c r="O68" s="6">
        <f t="shared" si="5"/>
        <v>0</v>
      </c>
      <c r="P68" s="6">
        <f t="shared" si="5"/>
        <v>0</v>
      </c>
      <c r="Q68" s="6">
        <f t="shared" si="5"/>
        <v>0</v>
      </c>
      <c r="R68" s="6">
        <f t="shared" si="5"/>
        <v>0</v>
      </c>
      <c r="S68" s="6">
        <f t="shared" si="5"/>
        <v>0</v>
      </c>
      <c r="T68" s="6">
        <f t="shared" si="5"/>
        <v>0</v>
      </c>
      <c r="U68" s="6">
        <f t="shared" si="5"/>
        <v>0</v>
      </c>
      <c r="V68" s="6">
        <f t="shared" si="5"/>
        <v>0</v>
      </c>
      <c r="W68" s="6">
        <f t="shared" si="5"/>
        <v>0</v>
      </c>
      <c r="Z68" s="31" t="s">
        <v>169</v>
      </c>
      <c r="AA68" s="28">
        <f>MAX(Tabla1[Check Puntuación Media original])</f>
        <v>7.7777777777777777</v>
      </c>
      <c r="AB68" s="28">
        <f>MAX(Tabla1[Puntuación Media sin 1.7 y 2.1])</f>
        <v>8.75</v>
      </c>
      <c r="AC68" s="31" t="s">
        <v>172</v>
      </c>
      <c r="AD68" s="33">
        <f>COUNTIF(Tabla1[Check Nivel ad. Original],"A")</f>
        <v>2</v>
      </c>
      <c r="AE68" s="33">
        <f>COUNTIF(Tabla1[Nivel de adecuación estimado sin 1.7 y 2.1],"A")</f>
        <v>0</v>
      </c>
    </row>
    <row r="69" spans="1:31" x14ac:dyDescent="0.25">
      <c r="C69" s="17" t="s">
        <v>33</v>
      </c>
      <c r="D69" s="6">
        <f t="shared" si="4"/>
        <v>0</v>
      </c>
      <c r="E69" s="6">
        <f t="shared" si="4"/>
        <v>2</v>
      </c>
      <c r="F69" s="6">
        <f t="shared" si="4"/>
        <v>0</v>
      </c>
      <c r="G69" s="6">
        <f t="shared" si="4"/>
        <v>0</v>
      </c>
      <c r="H69" s="6">
        <f t="shared" si="4"/>
        <v>0</v>
      </c>
      <c r="I69" s="6">
        <f t="shared" si="4"/>
        <v>0</v>
      </c>
      <c r="J69" s="6">
        <f t="shared" si="4"/>
        <v>0</v>
      </c>
      <c r="K69" s="6">
        <f t="shared" si="4"/>
        <v>0</v>
      </c>
      <c r="L69" s="6">
        <f t="shared" si="4"/>
        <v>0</v>
      </c>
      <c r="M69" s="6">
        <f t="shared" si="4"/>
        <v>0</v>
      </c>
      <c r="N69" s="6">
        <f t="shared" si="5"/>
        <v>0</v>
      </c>
      <c r="O69" s="6">
        <f t="shared" si="5"/>
        <v>0</v>
      </c>
      <c r="P69" s="6">
        <f t="shared" si="5"/>
        <v>0</v>
      </c>
      <c r="Q69" s="6">
        <f t="shared" si="5"/>
        <v>0</v>
      </c>
      <c r="R69" s="6">
        <f t="shared" si="5"/>
        <v>0</v>
      </c>
      <c r="S69" s="6">
        <f t="shared" si="5"/>
        <v>0</v>
      </c>
      <c r="T69" s="6">
        <f t="shared" si="5"/>
        <v>0</v>
      </c>
      <c r="U69" s="6">
        <f t="shared" si="5"/>
        <v>0</v>
      </c>
      <c r="V69" s="6">
        <f t="shared" si="5"/>
        <v>0</v>
      </c>
      <c r="W69" s="6">
        <f t="shared" si="5"/>
        <v>0</v>
      </c>
      <c r="Z69" s="30" t="s">
        <v>170</v>
      </c>
      <c r="AA69" s="29">
        <f>MIN(Tabla1[Check Puntuación Media original])</f>
        <v>2.6315789473684212</v>
      </c>
      <c r="AB69" s="29">
        <f>MIN(Tabla1[Puntuación Media sin 1.7 y 2.1])</f>
        <v>2.9411764705882355</v>
      </c>
      <c r="AC69" s="30" t="s">
        <v>173</v>
      </c>
      <c r="AD69" s="32">
        <f>COUNTIF(Tabla1[Check Nivel ad. Original],"No Válido")</f>
        <v>60</v>
      </c>
      <c r="AE69" s="32">
        <f>COUNTIF(Tabla1[Nivel de adecuación estimado sin 1.7 y 2.1],"No Válido")</f>
        <v>59</v>
      </c>
    </row>
    <row r="70" spans="1:31" x14ac:dyDescent="0.25">
      <c r="C70" s="17" t="s">
        <v>32</v>
      </c>
      <c r="D70" s="6">
        <f t="shared" si="4"/>
        <v>32</v>
      </c>
      <c r="E70" s="6">
        <f t="shared" si="4"/>
        <v>56</v>
      </c>
      <c r="F70" s="6">
        <f t="shared" si="4"/>
        <v>22</v>
      </c>
      <c r="G70" s="6">
        <f t="shared" si="4"/>
        <v>1</v>
      </c>
      <c r="H70" s="6">
        <f t="shared" si="4"/>
        <v>46</v>
      </c>
      <c r="I70" s="6">
        <f t="shared" si="4"/>
        <v>41</v>
      </c>
      <c r="J70" s="6">
        <f t="shared" si="4"/>
        <v>64</v>
      </c>
      <c r="K70" s="6">
        <f t="shared" si="4"/>
        <v>8</v>
      </c>
      <c r="L70" s="6">
        <f t="shared" si="4"/>
        <v>32</v>
      </c>
      <c r="M70" s="6">
        <f t="shared" si="4"/>
        <v>5</v>
      </c>
      <c r="N70" s="6">
        <f t="shared" si="5"/>
        <v>17</v>
      </c>
      <c r="O70" s="6">
        <f t="shared" si="5"/>
        <v>56</v>
      </c>
      <c r="P70" s="6">
        <f t="shared" si="5"/>
        <v>0</v>
      </c>
      <c r="Q70" s="6">
        <f t="shared" si="5"/>
        <v>47</v>
      </c>
      <c r="R70" s="6">
        <f t="shared" si="5"/>
        <v>62</v>
      </c>
      <c r="S70" s="6">
        <f t="shared" si="5"/>
        <v>25</v>
      </c>
      <c r="T70" s="6">
        <f t="shared" si="5"/>
        <v>15</v>
      </c>
      <c r="U70" s="6">
        <f t="shared" si="5"/>
        <v>41</v>
      </c>
      <c r="V70" s="6">
        <f t="shared" si="5"/>
        <v>44</v>
      </c>
      <c r="W70" s="6">
        <f t="shared" si="5"/>
        <v>8</v>
      </c>
      <c r="Z70" s="20"/>
      <c r="AA70" s="20"/>
      <c r="AB70" s="20"/>
    </row>
    <row r="71" spans="1:31" x14ac:dyDescent="0.25">
      <c r="C71" s="17" t="s">
        <v>5</v>
      </c>
      <c r="D71" s="6">
        <f>D70+D69+D68+D67</f>
        <v>64</v>
      </c>
      <c r="E71" s="6">
        <f t="shared" ref="E71:W71" si="6">E70+E69+E68+E67</f>
        <v>64</v>
      </c>
      <c r="F71" s="6">
        <f t="shared" si="6"/>
        <v>64</v>
      </c>
      <c r="G71" s="6">
        <f t="shared" si="6"/>
        <v>64</v>
      </c>
      <c r="H71" s="6">
        <f t="shared" si="6"/>
        <v>64</v>
      </c>
      <c r="I71" s="6">
        <f t="shared" si="6"/>
        <v>64</v>
      </c>
      <c r="J71" s="6">
        <f t="shared" si="6"/>
        <v>64</v>
      </c>
      <c r="K71" s="6">
        <f t="shared" si="6"/>
        <v>64</v>
      </c>
      <c r="L71" s="6">
        <f t="shared" si="6"/>
        <v>64</v>
      </c>
      <c r="M71" s="6">
        <f t="shared" si="6"/>
        <v>64</v>
      </c>
      <c r="N71" s="6">
        <f t="shared" si="6"/>
        <v>64</v>
      </c>
      <c r="O71" s="6">
        <f t="shared" si="6"/>
        <v>64</v>
      </c>
      <c r="P71" s="6">
        <f t="shared" si="6"/>
        <v>64</v>
      </c>
      <c r="Q71" s="6">
        <f t="shared" si="6"/>
        <v>64</v>
      </c>
      <c r="R71" s="6">
        <f t="shared" si="6"/>
        <v>64</v>
      </c>
      <c r="S71" s="6">
        <f t="shared" si="6"/>
        <v>64</v>
      </c>
      <c r="T71" s="6">
        <f t="shared" si="6"/>
        <v>64</v>
      </c>
      <c r="U71" s="6">
        <f t="shared" si="6"/>
        <v>64</v>
      </c>
      <c r="V71" s="6">
        <f t="shared" si="6"/>
        <v>64</v>
      </c>
      <c r="W71" s="6">
        <f t="shared" si="6"/>
        <v>64</v>
      </c>
      <c r="Z71" s="20"/>
      <c r="AA71" s="20"/>
      <c r="AB71" s="20"/>
    </row>
    <row r="72" spans="1:31" x14ac:dyDescent="0.25">
      <c r="C72" s="17" t="s">
        <v>43</v>
      </c>
      <c r="D72" s="6" t="str">
        <f>IF(OR(D71=D67,D71=D68,D71=D69,D71=D70),"Si","No")</f>
        <v>No</v>
      </c>
      <c r="E72" s="6" t="str">
        <f t="shared" ref="E72:W72" si="7">IF(OR(E71=E67,E71=E68,E71=E69,E71=E70),"Si","No")</f>
        <v>No</v>
      </c>
      <c r="F72" s="6" t="str">
        <f t="shared" si="7"/>
        <v>No</v>
      </c>
      <c r="G72" s="6" t="str">
        <f t="shared" si="7"/>
        <v>No</v>
      </c>
      <c r="H72" s="6" t="str">
        <f t="shared" si="7"/>
        <v>No</v>
      </c>
      <c r="I72" s="6" t="str">
        <f t="shared" si="7"/>
        <v>No</v>
      </c>
      <c r="J72" s="6" t="str">
        <f t="shared" si="7"/>
        <v>Si</v>
      </c>
      <c r="K72" s="6" t="str">
        <f t="shared" si="7"/>
        <v>No</v>
      </c>
      <c r="L72" s="6" t="str">
        <f t="shared" si="7"/>
        <v>No</v>
      </c>
      <c r="M72" s="6" t="str">
        <f t="shared" si="7"/>
        <v>No</v>
      </c>
      <c r="N72" s="6" t="str">
        <f t="shared" si="7"/>
        <v>No</v>
      </c>
      <c r="O72" s="6" t="str">
        <f t="shared" si="7"/>
        <v>No</v>
      </c>
      <c r="P72" s="6" t="str">
        <f t="shared" si="7"/>
        <v>Si</v>
      </c>
      <c r="Q72" s="6" t="str">
        <f t="shared" si="7"/>
        <v>No</v>
      </c>
      <c r="R72" s="6" t="str">
        <f t="shared" si="7"/>
        <v>No</v>
      </c>
      <c r="S72" s="6" t="str">
        <f t="shared" si="7"/>
        <v>No</v>
      </c>
      <c r="T72" s="6" t="str">
        <f t="shared" si="7"/>
        <v>No</v>
      </c>
      <c r="U72" s="6" t="str">
        <f t="shared" si="7"/>
        <v>No</v>
      </c>
      <c r="V72" s="6" t="str">
        <f t="shared" si="7"/>
        <v>No</v>
      </c>
      <c r="W72" s="6" t="str">
        <f t="shared" si="7"/>
        <v>No</v>
      </c>
      <c r="Z72" s="20"/>
      <c r="AA72" s="20"/>
      <c r="AB72" s="20"/>
    </row>
  </sheetData>
  <conditionalFormatting sqref="D72:W72">
    <cfRule type="containsText" dxfId="29" priority="11" operator="containsText" text="Si">
      <formula>NOT(ISERROR(SEARCH("Si",D72)))</formula>
    </cfRule>
  </conditionalFormatting>
  <conditionalFormatting sqref="D2:W2 D3:Z65 AB3:AB65">
    <cfRule type="containsText" dxfId="28" priority="10" operator="containsText" text="0 F">
      <formula>NOT(ISERROR(SEARCH("0 F",D2)))</formula>
    </cfRule>
  </conditionalFormatting>
  <conditionalFormatting sqref="X2:AB2 AA3:AA65">
    <cfRule type="containsText" dxfId="27" priority="9" operator="containsText" text="0 F">
      <formula>NOT(ISERROR(SEARCH("0 F",X2)))</formula>
    </cfRule>
  </conditionalFormatting>
  <conditionalFormatting sqref="Z67:AE67 Z69:AE69">
    <cfRule type="containsText" dxfId="26" priority="8" operator="containsText" text="0 F">
      <formula>NOT(ISERROR(SEARCH("0 F",Z67)))</formula>
    </cfRule>
  </conditionalFormatting>
  <conditionalFormatting sqref="Z68">
    <cfRule type="containsText" dxfId="23" priority="5" operator="containsText" text="0 F">
      <formula>NOT(ISERROR(SEARCH("0 F",Z68)))</formula>
    </cfRule>
  </conditionalFormatting>
  <conditionalFormatting sqref="AA68:AB68">
    <cfRule type="containsText" dxfId="22" priority="4" operator="containsText" text="0 F">
      <formula>NOT(ISERROR(SEARCH("0 F",AA68)))</formula>
    </cfRule>
  </conditionalFormatting>
  <conditionalFormatting sqref="AD68:AE68">
    <cfRule type="containsText" dxfId="20" priority="2" operator="containsText" text="0 F">
      <formula>NOT(ISERROR(SEARCH("0 F",AD68)))</formula>
    </cfRule>
  </conditionalFormatting>
  <conditionalFormatting sqref="AC68">
    <cfRule type="containsText" dxfId="19" priority="1" operator="containsText" text="0 F">
      <formula>NOT(ISERROR(SEARCH("0 F",AC68)))</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3132C-5CFB-4122-A470-A2B8199ABA2C}">
  <sheetPr>
    <tabColor theme="9"/>
  </sheetPr>
  <dimension ref="A1:G7"/>
  <sheetViews>
    <sheetView workbookViewId="0"/>
  </sheetViews>
  <sheetFormatPr baseColWidth="10" defaultRowHeight="15" x14ac:dyDescent="0.25"/>
  <cols>
    <col min="1" max="1" width="12.5703125" bestFit="1" customWidth="1"/>
    <col min="2" max="4" width="20.7109375" customWidth="1"/>
    <col min="5" max="5" width="7.28515625" bestFit="1" customWidth="1"/>
    <col min="6" max="7" width="18" customWidth="1"/>
  </cols>
  <sheetData>
    <row r="1" spans="1:7" ht="30" x14ac:dyDescent="0.25">
      <c r="A1" s="19"/>
      <c r="B1" s="34" t="s">
        <v>44</v>
      </c>
      <c r="C1" s="34" t="s">
        <v>47</v>
      </c>
      <c r="D1" s="13"/>
      <c r="E1" s="13"/>
      <c r="F1" s="34" t="s">
        <v>166</v>
      </c>
      <c r="G1" s="34" t="s">
        <v>168</v>
      </c>
    </row>
    <row r="2" spans="1:7" x14ac:dyDescent="0.25">
      <c r="A2" s="30" t="s">
        <v>171</v>
      </c>
      <c r="B2" s="26">
        <f>'Cumplimiento indicadores'!AD67</f>
        <v>2</v>
      </c>
      <c r="C2" s="26">
        <f>'Cumplimiento indicadores'!AE67</f>
        <v>5</v>
      </c>
      <c r="D2" s="6"/>
      <c r="E2" s="30" t="s">
        <v>12</v>
      </c>
      <c r="F2" s="35">
        <f>'Cumplimiento indicadores'!AA67</f>
        <v>4.768059855521158</v>
      </c>
      <c r="G2" s="35">
        <f>'Cumplimiento indicadores'!AB67</f>
        <v>5.3491370506535949</v>
      </c>
    </row>
    <row r="3" spans="1:7" x14ac:dyDescent="0.25">
      <c r="A3" s="31" t="s">
        <v>172</v>
      </c>
      <c r="B3" s="26">
        <f>'Cumplimiento indicadores'!AD68</f>
        <v>2</v>
      </c>
      <c r="C3" s="26">
        <f>'Cumplimiento indicadores'!AE68</f>
        <v>0</v>
      </c>
      <c r="D3" s="6"/>
      <c r="E3" s="31" t="s">
        <v>169</v>
      </c>
      <c r="F3" s="36">
        <f>'Cumplimiento indicadores'!AA68</f>
        <v>7.7777777777777777</v>
      </c>
      <c r="G3" s="36">
        <f>'Cumplimiento indicadores'!AB68</f>
        <v>8.75</v>
      </c>
    </row>
    <row r="4" spans="1:7" x14ac:dyDescent="0.25">
      <c r="A4" s="30" t="s">
        <v>173</v>
      </c>
      <c r="B4" s="26">
        <f>'Cumplimiento indicadores'!AD69</f>
        <v>60</v>
      </c>
      <c r="C4" s="26">
        <f>'Cumplimiento indicadores'!AE69</f>
        <v>59</v>
      </c>
      <c r="E4" s="30" t="s">
        <v>170</v>
      </c>
      <c r="F4" s="35">
        <f>'Cumplimiento indicadores'!AA69</f>
        <v>2.6315789473684212</v>
      </c>
      <c r="G4" s="35">
        <f>'Cumplimiento indicadores'!AB69</f>
        <v>2.9411764705882355</v>
      </c>
    </row>
    <row r="5" spans="1:7" x14ac:dyDescent="0.25">
      <c r="A5" s="30" t="s">
        <v>171</v>
      </c>
      <c r="B5" s="21">
        <f>B2/SUM(B2:B4)</f>
        <v>3.125E-2</v>
      </c>
      <c r="C5" s="21">
        <f>C2/SUM(C2:C4)</f>
        <v>7.8125E-2</v>
      </c>
    </row>
    <row r="6" spans="1:7" x14ac:dyDescent="0.25">
      <c r="A6" s="31" t="s">
        <v>172</v>
      </c>
      <c r="B6" s="22">
        <f>B3/SUM(B2:B4)</f>
        <v>3.125E-2</v>
      </c>
      <c r="C6" s="22">
        <f>C3/SUM(C2:C4)</f>
        <v>0</v>
      </c>
    </row>
    <row r="7" spans="1:7" x14ac:dyDescent="0.25">
      <c r="A7" s="30" t="s">
        <v>173</v>
      </c>
      <c r="B7" s="23">
        <f>B4/SUM(B2:B4)</f>
        <v>0.9375</v>
      </c>
      <c r="C7" s="23">
        <f>C4/SUM(C2:C4)</f>
        <v>0.921875</v>
      </c>
    </row>
  </sheetData>
  <conditionalFormatting sqref="A2 A4">
    <cfRule type="containsText" dxfId="9" priority="10" operator="containsText" text="0 F">
      <formula>NOT(ISERROR(SEARCH("0 F",A2)))</formula>
    </cfRule>
  </conditionalFormatting>
  <conditionalFormatting sqref="A3">
    <cfRule type="containsText" dxfId="8" priority="9" operator="containsText" text="0 F">
      <formula>NOT(ISERROR(SEARCH("0 F",A3)))</formula>
    </cfRule>
  </conditionalFormatting>
  <conditionalFormatting sqref="A5 A7">
    <cfRule type="containsText" dxfId="7" priority="8" operator="containsText" text="0 F">
      <formula>NOT(ISERROR(SEARCH("0 F",A5)))</formula>
    </cfRule>
  </conditionalFormatting>
  <conditionalFormatting sqref="A6">
    <cfRule type="containsText" dxfId="6" priority="7" operator="containsText" text="0 F">
      <formula>NOT(ISERROR(SEARCH("0 F",A6)))</formula>
    </cfRule>
  </conditionalFormatting>
  <conditionalFormatting sqref="E2:G2 E4:G4">
    <cfRule type="containsText" dxfId="5" priority="6" operator="containsText" text="0 F">
      <formula>NOT(ISERROR(SEARCH("0 F",E2)))</formula>
    </cfRule>
  </conditionalFormatting>
  <conditionalFormatting sqref="E3">
    <cfRule type="containsText" dxfId="4" priority="5" operator="containsText" text="0 F">
      <formula>NOT(ISERROR(SEARCH("0 F",E3)))</formula>
    </cfRule>
  </conditionalFormatting>
  <conditionalFormatting sqref="F3:G3">
    <cfRule type="containsText" dxfId="3" priority="4" operator="containsText" text="0 F">
      <formula>NOT(ISERROR(SEARCH("0 F",F3)))</formula>
    </cfRule>
  </conditionalFormatting>
  <conditionalFormatting sqref="F1:G1">
    <cfRule type="containsText" dxfId="2" priority="3" operator="containsText" text="0 F">
      <formula>NOT(ISERROR(SEARCH("0 F",F1)))</formula>
    </cfRule>
  </conditionalFormatting>
  <conditionalFormatting sqref="B1:C1">
    <cfRule type="containsText" dxfId="1" priority="2" operator="containsText" text="0 F">
      <formula>NOT(ISERROR(SEARCH("0 F",B1)))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4190F015AC98D84EA2ABF37B7F7EEE93" ma:contentTypeVersion="1" ma:contentTypeDescription="Crear nuevo documento." ma:contentTypeScope="" ma:versionID="90a4380a6bf21a2e46a4e1d8e4217c9d">
  <xsd:schema xmlns:xsd="http://www.w3.org/2001/XMLSchema" xmlns:xs="http://www.w3.org/2001/XMLSchema" xmlns:p="http://schemas.microsoft.com/office/2006/metadata/properties" xmlns:ns3="c8040c94-aeaa-4678-bedd-de5f5a504ed4" targetNamespace="http://schemas.microsoft.com/office/2006/metadata/properties" ma:root="true" ma:fieldsID="da717d900314d84980455103438096be" ns3:_="">
    <xsd:import namespace="c8040c94-aeaa-4678-bedd-de5f5a504ed4"/>
    <xsd:element name="properties">
      <xsd:complexType>
        <xsd:sequence>
          <xsd:element name="documentManagement">
            <xsd:complexType>
              <xsd:all>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8040c94-aeaa-4678-bedd-de5f5a504ed4"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c8040c94-aeaa-4678-bedd-de5f5a504ed4" xsi:nil="true"/>
  </documentManagement>
</p:properties>
</file>

<file path=customXml/itemProps1.xml><?xml version="1.0" encoding="utf-8"?>
<ds:datastoreItem xmlns:ds="http://schemas.openxmlformats.org/officeDocument/2006/customXml" ds:itemID="{09E56E68-BC28-48AC-ADBF-9FAB93BA3B1F}">
  <ds:schemaRefs>
    <ds:schemaRef ds:uri="http://schemas.microsoft.com/sharepoint/v3/contenttype/forms"/>
  </ds:schemaRefs>
</ds:datastoreItem>
</file>

<file path=customXml/itemProps2.xml><?xml version="1.0" encoding="utf-8"?>
<ds:datastoreItem xmlns:ds="http://schemas.openxmlformats.org/officeDocument/2006/customXml" ds:itemID="{FA43F0DC-5119-4D27-9568-B80833B127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8040c94-aeaa-4678-bedd-de5f5a504ed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B97C506-A363-4693-9714-B5C0AD0A92B2}">
  <ds:schemaRefs>
    <ds:schemaRef ds:uri="http://purl.org/dc/dcmitype/"/>
    <ds:schemaRef ds:uri="http://schemas.microsoft.com/office/infopath/2007/PartnerControls"/>
    <ds:schemaRef ds:uri="http://purl.org/dc/elements/1.1/"/>
    <ds:schemaRef ds:uri="http://schemas.microsoft.com/office/2006/metadata/properties"/>
    <ds:schemaRef ds:uri="c8040c94-aeaa-4678-bedd-de5f5a504ed4"/>
    <ds:schemaRef ds:uri="http://schemas.microsoft.com/office/2006/documentManagement/types"/>
    <ds:schemaRef ds:uri="http://purl.org/dc/term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readme</vt:lpstr>
      <vt:lpstr>Muestra final</vt:lpstr>
      <vt:lpstr>Resumen informes sin tratar</vt:lpstr>
      <vt:lpstr>Cumplimiento indicadores</vt:lpstr>
      <vt:lpstr>Resumen final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ALVAR HERRERO ALONSO</dc:creator>
  <cp:lastModifiedBy>JAVIER ALVAR HERRERO ALONSO</cp:lastModifiedBy>
  <dcterms:created xsi:type="dcterms:W3CDTF">2023-07-26T20:14:02Z</dcterms:created>
  <dcterms:modified xsi:type="dcterms:W3CDTF">2023-11-24T12:28:59Z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0x0101004190F015AC98D84EA2ABF37B7F7EEE93</vt:lpwstr>
  </property>
</Properties>
</file>